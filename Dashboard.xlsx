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Excel Dashboards\Hospital Dashboard\"/>
    </mc:Choice>
  </mc:AlternateContent>
  <xr:revisionPtr revIDLastSave="0" documentId="13_ncr:1_{A9798F89-76E5-43DB-9871-C16A959BBDB9}" xr6:coauthVersionLast="47" xr6:coauthVersionMax="47" xr10:uidLastSave="{00000000-0000-0000-0000-000000000000}"/>
  <bookViews>
    <workbookView xWindow="-120" yWindow="-120" windowWidth="29040" windowHeight="16440" firstSheet="1" activeTab="1" xr2:uid="{00000000-000D-0000-FFFF-FFFF00000000}"/>
  </bookViews>
  <sheets>
    <sheet name="Pivot Material" sheetId="1" r:id="rId1"/>
    <sheet name="Dashboard" sheetId="2" r:id="rId2"/>
    <sheet name="Number of Patient in a day" sheetId="3" r:id="rId3"/>
    <sheet name="Avg Wait time " sheetId="4" r:id="rId4"/>
    <sheet name="Satification Score for a day" sheetId="5" r:id="rId5"/>
  </sheets>
  <definedNames>
    <definedName name="Slicer_Column1__Month">#N/A</definedName>
    <definedName name="Slicer_Column1__Year">#N/A</definedName>
  </definedNames>
  <calcPr calcId="191029"/>
  <pivotCaches>
    <pivotCache cacheId="951" r:id="rId6"/>
    <pivotCache cacheId="954" r:id="rId7"/>
    <pivotCache cacheId="957" r:id="rId8"/>
    <pivotCache cacheId="960" r:id="rId9"/>
    <pivotCache cacheId="963" r:id="rId10"/>
    <pivotCache cacheId="966" r:id="rId11"/>
    <pivotCache cacheId="969" r:id="rId12"/>
    <pivotCache cacheId="972" r:id="rId13"/>
    <pivotCache cacheId="975" r:id="rId14"/>
    <pivotCache cacheId="978" r:id="rId15"/>
    <pivotCache cacheId="981" r:id="rId16"/>
    <pivotCache cacheId="984"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ec9a08d-67e7-4c37-bbf7-572c3c658b0d" name="Hospital Emergency Room Data" connection="Query - Hospital Emergency Room Data"/>
          <x15:modelTable id="Query1_15021858-67ac-4f5b-a61e-737184e22461" name="Query1" connection="Query - Query1"/>
        </x15:modelTables>
        <x15:modelRelationships>
          <x15:modelRelationship fromTable="Hospital Emergency Room Data" fromColumn="Patient Admission Date" toTable="Query1" toColumn="Column1"/>
        </x15:modelRelationships>
        <x15:extLst>
          <ext xmlns:x16="http://schemas.microsoft.com/office/spreadsheetml/2014/11/main" uri="{9835A34E-60A6-4A7C-AAB8-D5F71C897F49}">
            <x16:modelTimeGroupings>
              <x16:modelTimeGrouping tableName="Query1" columnName="Column1" columnId="Column1">
                <x16:calculatedTimeColumn columnName="Column1 (Year)" columnId="Column1 (Year)" contentType="years" isSelected="1"/>
                <x16:calculatedTimeColumn columnName="Column1 (Quarter)" columnId="Column1 (Quarter)" contentType="quarters" isSelected="1"/>
                <x16:calculatedTimeColumn columnName="Column1 (Month Index)" columnId="Column1 (Month Index)" contentType="monthsindex" isSelected="1"/>
                <x16:calculatedTimeColumn columnName="Column1 (Month)" columnId="Column1 (Month)" contentType="months" isSelected="1"/>
                <x16:calculatedTimeColumn columnName="Column1 (Day Index)" columnId="Column1 (Day Index)" contentType="daysindex" isSelected="0"/>
                <x16:calculatedTimeColumn columnName="Column1 (Day)" columnId="Column1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1" i="1" l="1"/>
  <c r="B91" i="1"/>
  <c r="C91" i="1"/>
  <c r="A96" i="1"/>
  <c r="A92" i="1" s="1"/>
  <c r="B96" i="1"/>
  <c r="B92" i="1" s="1"/>
  <c r="C96" i="1"/>
  <c r="C92" i="1" s="1"/>
  <c r="A97" i="1"/>
  <c r="A93" i="1" s="1"/>
  <c r="B97" i="1"/>
  <c r="B93" i="1" s="1"/>
  <c r="C97" i="1"/>
  <c r="C93"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B57E7F-83A9-412F-B10C-C8623E18B63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9e44bf9-42ad-439b-aec7-b394ea1dc756"/>
      </ext>
    </extLst>
  </connection>
  <connection id="2" xr16:uid="{37E7553C-BE8D-44D4-A772-2779B4675EBD}" name="Query - Query1" description="Connection to the 'Query1' query in the workbook." type="100" refreshedVersion="8" minRefreshableVersion="5">
    <extLst>
      <ext xmlns:x15="http://schemas.microsoft.com/office/spreadsheetml/2010/11/main" uri="{DE250136-89BD-433C-8126-D09CA5730AF9}">
        <x15:connection id="1254b000-154c-438e-afe6-9cedbfd55a32"/>
      </ext>
    </extLst>
  </connection>
  <connection id="3" xr16:uid="{8DEA91CC-DDF5-46E1-9BF4-23A94C8F06C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<sst xmlns="http://schemas.openxmlformats.org/spreadsheetml/2006/main" count="158" uniqueCount="77">
  <si>
    <t>Row Labels</t>
  </si>
  <si>
    <t>Grand Total</t>
  </si>
  <si>
    <t>Distinct Count of Patient Id</t>
  </si>
  <si>
    <t>No. of Patient</t>
  </si>
  <si>
    <t>Average of Patient Waittime</t>
  </si>
  <si>
    <t>Avg Wait Time</t>
  </si>
  <si>
    <t>Patient Satification Score</t>
  </si>
  <si>
    <t>Average of Patient Satisfaction Score</t>
  </si>
  <si>
    <t xml:space="preserve"> </t>
  </si>
  <si>
    <t xml:space="preserve">daily patient </t>
  </si>
  <si>
    <t>daily avg wait time</t>
  </si>
  <si>
    <t>daily satification score</t>
  </si>
  <si>
    <t>Use an area sparkline to track daily changes and highlight days with longer wait times that might need improvements</t>
  </si>
  <si>
    <t>Count of Patient Attend Status</t>
  </si>
  <si>
    <t>Admitted</t>
  </si>
  <si>
    <t>Not Admitted</t>
  </si>
  <si>
    <t>Count of Patient Attend Status2</t>
  </si>
  <si>
    <t>Admission Status</t>
  </si>
  <si>
    <t>% Status</t>
  </si>
  <si>
    <t>Count of Patient Age</t>
  </si>
  <si>
    <t>0-09</t>
  </si>
  <si>
    <t>10-19</t>
  </si>
  <si>
    <t>20-29</t>
  </si>
  <si>
    <t>30-39</t>
  </si>
  <si>
    <t>40-49</t>
  </si>
  <si>
    <t>50-59</t>
  </si>
  <si>
    <t>60-69</t>
  </si>
  <si>
    <t>70-79</t>
  </si>
  <si>
    <t>Age Grp</t>
  </si>
  <si>
    <t>Count of Patient Id</t>
  </si>
  <si>
    <t>Delay</t>
  </si>
  <si>
    <t>OnTime</t>
  </si>
  <si>
    <t>Female</t>
  </si>
  <si>
    <t>Male</t>
  </si>
  <si>
    <t>Count of Patient Gender</t>
  </si>
  <si>
    <t>Gender</t>
  </si>
  <si>
    <t>delay</t>
  </si>
  <si>
    <t>Cardiology</t>
  </si>
  <si>
    <t>Gastroenterology</t>
  </si>
  <si>
    <t>General Practice</t>
  </si>
  <si>
    <t>Neurology</t>
  </si>
  <si>
    <t>None</t>
  </si>
  <si>
    <t>Orthopedics</t>
  </si>
  <si>
    <t>Physiotherapy</t>
  </si>
  <si>
    <t>Renal</t>
  </si>
  <si>
    <t>Count of Department Referral</t>
  </si>
  <si>
    <t>2024</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</si>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</sst>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u/>
      <sz val="11"/>
      <color theme="10"/>
      <name val="Calibri"/>
      <family val="2"/>
      <scheme val="minor"/>
    </font>
    <font>
      <sz val="12"/>
      <color rgb="FFFFFFFF"/>
      <name val="Calibri"/>
      <family val="2"/>
      <scheme val="minor"/>
    </font>
  </fonts>
  <fills count="6">
    <fill>
      <patternFill patternType="none"/>
    </fill>
    <fill>
      <patternFill patternType="gray125"/>
    </fill>
    <fill>
      <patternFill patternType="solid">
        <fgColor theme="1"/>
        <bgColor indexed="64"/>
      </patternFill>
    </fill>
    <fill>
      <patternFill patternType="solid">
        <fgColor theme="4" tint="-0.249977111117893"/>
        <bgColor indexed="64"/>
      </patternFill>
    </fill>
    <fill>
      <patternFill patternType="solid">
        <fgColor theme="2"/>
        <bgColor indexed="64"/>
      </patternFill>
    </fill>
    <fill>
      <patternFill patternType="solid">
        <fgColor theme="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2" fillId="2" borderId="0" xfId="2" quotePrefix="1" applyFill="1"/>
    <xf numFmtId="0" fontId="3" fillId="0" borderId="0" xfId="0" applyFont="1"/>
    <xf numFmtId="10" fontId="0" fillId="0" borderId="0" xfId="0" applyNumberFormat="1"/>
    <xf numFmtId="0" fontId="0" fillId="3" borderId="0" xfId="0" applyFill="1"/>
    <xf numFmtId="0" fontId="0" fillId="5" borderId="0" xfId="0" applyFill="1"/>
    <xf numFmtId="0" fontId="0" fillId="3" borderId="0" xfId="0" applyFill="1" applyAlignment="1">
      <alignment horizontal="center" vertical="center"/>
    </xf>
    <xf numFmtId="0" fontId="0" fillId="4" borderId="0" xfId="0" applyFill="1" applyAlignment="1">
      <alignment horizontal="center" vertical="center"/>
    </xf>
    <xf numFmtId="9" fontId="0" fillId="4" borderId="0" xfId="1" applyFont="1" applyFill="1" applyAlignment="1">
      <alignment horizontal="center" vertical="center"/>
    </xf>
    <xf numFmtId="9" fontId="0" fillId="5" borderId="0" xfId="1" applyFont="1" applyFill="1"/>
    <xf numFmtId="1" fontId="0" fillId="0" borderId="0" xfId="0" applyNumberFormat="1"/>
    <xf numFmtId="0" fontId="0" fillId="0" borderId="0" xfId="0" applyNumberFormat="1"/>
    <xf numFmtId="0" fontId="2" fillId="0" borderId="0" xfId="2" quotePrefix="1"/>
    <xf numFmtId="0" fontId="0" fillId="0" borderId="0" xfId="0" applyFill="1"/>
  </cellXfs>
  <cellStyles count="3">
    <cellStyle name="Hyperlink" xfId="2" builtinId="8"/>
    <cellStyle name="Normal" xfId="0" builtinId="0"/>
    <cellStyle name="Percent" xfId="1" builtinId="5"/>
  </cellStyles>
  <dxfs count="14">
    <dxf>
      <numFmt numFmtId="1" formatCode="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1" formatCode="0"/>
    </dxf>
    <dxf>
      <numFmt numFmtId="1" formatCode="0"/>
    </dxf>
    <dxf>
      <numFmt numFmtId="2" formatCode="0.00"/>
    </dxf>
    <dxf>
      <numFmt numFmtId="2" formatCode="0.00"/>
    </dxf>
    <dxf>
      <font>
        <b/>
        <color theme="1"/>
      </font>
      <border>
        <bottom style="thin">
          <color theme="4"/>
        </bottom>
        <vertical/>
        <horizontal/>
      </border>
    </dxf>
    <dxf>
      <font>
        <sz val="8"/>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CEB18669-80E0-4416-9BFB-6661F9D65E1A}">
      <tableStyleElement type="wholeTable" dxfId="13"/>
      <tableStyleElement type="headerRow" dxfId="12"/>
    </tableStyle>
  </tableStyles>
  <colors>
    <mruColors>
      <color rgb="FF063BD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Material!PivotTable7</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s>
    <c:plotArea>
      <c:layout>
        <c:manualLayout>
          <c:layoutTarget val="inner"/>
          <c:xMode val="edge"/>
          <c:yMode val="edge"/>
          <c:x val="0"/>
          <c:y val="0"/>
          <c:w val="1"/>
          <c:h val="0.99129842861182782"/>
        </c:manualLayout>
      </c:layout>
      <c:barChart>
        <c:barDir val="bar"/>
        <c:grouping val="clustered"/>
        <c:varyColors val="0"/>
        <c:ser>
          <c:idx val="0"/>
          <c:order val="0"/>
          <c:tx>
            <c:strRef>
              <c:f>'Pivot Material'!$I$83</c:f>
              <c:strCache>
                <c:ptCount val="1"/>
                <c:pt idx="0">
                  <c:v>Count of Patient Attend Status</c:v>
                </c:pt>
              </c:strCache>
            </c:strRef>
          </c:tx>
          <c:spPr>
            <a:solidFill>
              <a:schemeClr val="accent1"/>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Material'!$H$84:$H$86</c:f>
              <c:strCache>
                <c:ptCount val="2"/>
                <c:pt idx="0">
                  <c:v>Admitted</c:v>
                </c:pt>
                <c:pt idx="1">
                  <c:v>Not Admitted</c:v>
                </c:pt>
              </c:strCache>
            </c:strRef>
          </c:cat>
          <c:val>
            <c:numRef>
              <c:f>'Pivot Material'!$I$84:$I$86</c:f>
              <c:numCache>
                <c:formatCode>0.00</c:formatCode>
                <c:ptCount val="2"/>
                <c:pt idx="0">
                  <c:v>235</c:v>
                </c:pt>
                <c:pt idx="1">
                  <c:v>250</c:v>
                </c:pt>
              </c:numCache>
            </c:numRef>
          </c:val>
          <c:extLst>
            <c:ext xmlns:c16="http://schemas.microsoft.com/office/drawing/2014/chart" uri="{C3380CC4-5D6E-409C-BE32-E72D297353CC}">
              <c16:uniqueId val="{00000006-18DC-4FE7-BA97-5DB8F54D1FC5}"/>
            </c:ext>
          </c:extLst>
        </c:ser>
        <c:ser>
          <c:idx val="1"/>
          <c:order val="1"/>
          <c:tx>
            <c:strRef>
              <c:f>'Pivot Material'!$J$83</c:f>
              <c:strCache>
                <c:ptCount val="1"/>
                <c:pt idx="0">
                  <c:v>Count of Patient Attend Status2</c:v>
                </c:pt>
              </c:strCache>
            </c:strRef>
          </c:tx>
          <c:spPr>
            <a:solidFill>
              <a:schemeClr val="accent2"/>
            </a:solidFill>
            <a:ln>
              <a:noFill/>
            </a:ln>
            <a:effectLst/>
          </c:spPr>
          <c:invertIfNegative val="0"/>
          <c:cat>
            <c:strRef>
              <c:f>'Pivot Material'!$H$84:$H$86</c:f>
              <c:strCache>
                <c:ptCount val="2"/>
                <c:pt idx="0">
                  <c:v>Admitted</c:v>
                </c:pt>
                <c:pt idx="1">
                  <c:v>Not Admitted</c:v>
                </c:pt>
              </c:strCache>
            </c:strRef>
          </c:cat>
          <c:val>
            <c:numRef>
              <c:f>'Pivot Material'!$J$84:$J$86</c:f>
              <c:numCache>
                <c:formatCode>0.00%</c:formatCode>
                <c:ptCount val="2"/>
                <c:pt idx="0">
                  <c:v>0.4845360824742268</c:v>
                </c:pt>
                <c:pt idx="1">
                  <c:v>0.51546391752577314</c:v>
                </c:pt>
              </c:numCache>
            </c:numRef>
          </c:val>
          <c:extLst>
            <c:ext xmlns:c16="http://schemas.microsoft.com/office/drawing/2014/chart" uri="{C3380CC4-5D6E-409C-BE32-E72D297353CC}">
              <c16:uniqueId val="{00000007-18DC-4FE7-BA97-5DB8F54D1FC5}"/>
            </c:ext>
          </c:extLst>
        </c:ser>
        <c:dLbls>
          <c:showLegendKey val="0"/>
          <c:showVal val="0"/>
          <c:showCatName val="0"/>
          <c:showSerName val="0"/>
          <c:showPercent val="0"/>
          <c:showBubbleSize val="0"/>
        </c:dLbls>
        <c:gapWidth val="15"/>
        <c:overlap val="96"/>
        <c:axId val="1960535903"/>
        <c:axId val="1960526303"/>
      </c:barChart>
      <c:catAx>
        <c:axId val="1960535903"/>
        <c:scaling>
          <c:orientation val="minMax"/>
        </c:scaling>
        <c:delete val="1"/>
        <c:axPos val="l"/>
        <c:numFmt formatCode="General" sourceLinked="1"/>
        <c:majorTickMark val="out"/>
        <c:minorTickMark val="none"/>
        <c:tickLblPos val="nextTo"/>
        <c:crossAx val="1960526303"/>
        <c:crosses val="autoZero"/>
        <c:auto val="1"/>
        <c:lblAlgn val="ctr"/>
        <c:lblOffset val="100"/>
        <c:noMultiLvlLbl val="0"/>
      </c:catAx>
      <c:valAx>
        <c:axId val="1960526303"/>
        <c:scaling>
          <c:orientation val="minMax"/>
        </c:scaling>
        <c:delete val="1"/>
        <c:axPos val="b"/>
        <c:numFmt formatCode="0.00" sourceLinked="1"/>
        <c:majorTickMark val="out"/>
        <c:minorTickMark val="none"/>
        <c:tickLblPos val="nextTo"/>
        <c:crossAx val="196053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Material!PivotTable4</c:name>
    <c:fmtId val="1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8752475846323644E-3"/>
          <c:w val="1"/>
          <c:h val="0.99112528259660904"/>
        </c:manualLayout>
      </c:layout>
      <c:areaChart>
        <c:grouping val="standard"/>
        <c:varyColors val="0"/>
        <c:ser>
          <c:idx val="0"/>
          <c:order val="0"/>
          <c:tx>
            <c:strRef>
              <c:f>'Pivot Material'!$B$16</c:f>
              <c:strCache>
                <c:ptCount val="1"/>
                <c:pt idx="0">
                  <c:v>Total</c:v>
                </c:pt>
              </c:strCache>
            </c:strRef>
          </c:tx>
          <c:spPr>
            <a:solidFill>
              <a:schemeClr val="accent1"/>
            </a:solidFill>
            <a:ln w="25400">
              <a:noFill/>
            </a:ln>
            <a:effectLst/>
          </c:spPr>
          <c:cat>
            <c:strRef>
              <c:f>'Pivot Material'!$A$17:$A$47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Material'!$B$17:$B$47</c:f>
              <c:numCache>
                <c:formatCode>0.00</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2-09F8-4611-B040-5600505AD8F2}"/>
            </c:ext>
          </c:extLst>
        </c:ser>
        <c:dLbls>
          <c:showLegendKey val="0"/>
          <c:showVal val="0"/>
          <c:showCatName val="0"/>
          <c:showSerName val="0"/>
          <c:showPercent val="0"/>
          <c:showBubbleSize val="0"/>
        </c:dLbls>
        <c:axId val="397575520"/>
        <c:axId val="397576000"/>
      </c:areaChart>
      <c:catAx>
        <c:axId val="397575520"/>
        <c:scaling>
          <c:orientation val="minMax"/>
        </c:scaling>
        <c:delete val="1"/>
        <c:axPos val="b"/>
        <c:numFmt formatCode="General" sourceLinked="1"/>
        <c:majorTickMark val="out"/>
        <c:minorTickMark val="none"/>
        <c:tickLblPos val="nextTo"/>
        <c:crossAx val="397576000"/>
        <c:crosses val="autoZero"/>
        <c:auto val="1"/>
        <c:lblAlgn val="ctr"/>
        <c:lblOffset val="100"/>
        <c:noMultiLvlLbl val="0"/>
      </c:catAx>
      <c:valAx>
        <c:axId val="397576000"/>
        <c:scaling>
          <c:orientation val="minMax"/>
        </c:scaling>
        <c:delete val="1"/>
        <c:axPos val="l"/>
        <c:numFmt formatCode="0.00" sourceLinked="1"/>
        <c:majorTickMark val="none"/>
        <c:minorTickMark val="none"/>
        <c:tickLblPos val="nextTo"/>
        <c:crossAx val="397575520"/>
        <c:crosses val="autoZero"/>
        <c:crossBetween val="midCat"/>
      </c:valAx>
      <c:spPr>
        <a:noFill/>
        <a:ln>
          <a:solidFill>
            <a:schemeClr val="bg1"/>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Material!PivotTable5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Material'!$G$16</c:f>
              <c:strCache>
                <c:ptCount val="1"/>
                <c:pt idx="0">
                  <c:v>Total</c:v>
                </c:pt>
              </c:strCache>
            </c:strRef>
          </c:tx>
          <c:spPr>
            <a:solidFill>
              <a:schemeClr val="accent1"/>
            </a:solidFill>
            <a:ln w="25400">
              <a:noFill/>
            </a:ln>
            <a:effectLst/>
          </c:spPr>
          <c:cat>
            <c:strRef>
              <c:f>'Pivot Material'!$F$17:$F$47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Material'!$G$17:$G$47</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3-B435-48F7-8B8F-06CA52047758}"/>
            </c:ext>
          </c:extLst>
        </c:ser>
        <c:dLbls>
          <c:showLegendKey val="0"/>
          <c:showVal val="0"/>
          <c:showCatName val="0"/>
          <c:showSerName val="0"/>
          <c:showPercent val="0"/>
          <c:showBubbleSize val="0"/>
        </c:dLbls>
        <c:axId val="1960540703"/>
        <c:axId val="1960541183"/>
      </c:areaChart>
      <c:catAx>
        <c:axId val="1960540703"/>
        <c:scaling>
          <c:orientation val="minMax"/>
        </c:scaling>
        <c:delete val="1"/>
        <c:axPos val="b"/>
        <c:numFmt formatCode="General" sourceLinked="1"/>
        <c:majorTickMark val="out"/>
        <c:minorTickMark val="none"/>
        <c:tickLblPos val="nextTo"/>
        <c:crossAx val="1960541183"/>
        <c:crosses val="autoZero"/>
        <c:auto val="1"/>
        <c:lblAlgn val="ctr"/>
        <c:lblOffset val="100"/>
        <c:noMultiLvlLbl val="0"/>
      </c:catAx>
      <c:valAx>
        <c:axId val="1960541183"/>
        <c:scaling>
          <c:orientation val="minMax"/>
        </c:scaling>
        <c:delete val="1"/>
        <c:axPos val="l"/>
        <c:numFmt formatCode="0.00" sourceLinked="1"/>
        <c:majorTickMark val="none"/>
        <c:minorTickMark val="none"/>
        <c:tickLblPos val="nextTo"/>
        <c:crossAx val="19605407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Material!PivotTable6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88973775800322E-3"/>
          <c:y val="0"/>
          <c:w val="0.99721110262241996"/>
          <c:h val="1"/>
        </c:manualLayout>
      </c:layout>
      <c:areaChart>
        <c:grouping val="standard"/>
        <c:varyColors val="0"/>
        <c:ser>
          <c:idx val="0"/>
          <c:order val="0"/>
          <c:tx>
            <c:strRef>
              <c:f>'Pivot Material'!$K$16</c:f>
              <c:strCache>
                <c:ptCount val="1"/>
                <c:pt idx="0">
                  <c:v>Total</c:v>
                </c:pt>
              </c:strCache>
            </c:strRef>
          </c:tx>
          <c:spPr>
            <a:solidFill>
              <a:schemeClr val="accent1"/>
            </a:solidFill>
            <a:ln w="25400">
              <a:noFill/>
            </a:ln>
            <a:effectLst/>
          </c:spPr>
          <c:cat>
            <c:strRef>
              <c:f>'Pivot Material'!$J$17:$J$47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Material'!$K$17:$K$47</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3-DC74-416B-85D7-D3930BA627CE}"/>
            </c:ext>
          </c:extLst>
        </c:ser>
        <c:dLbls>
          <c:showLegendKey val="0"/>
          <c:showVal val="0"/>
          <c:showCatName val="0"/>
          <c:showSerName val="0"/>
          <c:showPercent val="0"/>
          <c:showBubbleSize val="0"/>
        </c:dLbls>
        <c:axId val="1260872191"/>
        <c:axId val="1260888991"/>
      </c:areaChart>
      <c:catAx>
        <c:axId val="1260872191"/>
        <c:scaling>
          <c:orientation val="minMax"/>
        </c:scaling>
        <c:delete val="1"/>
        <c:axPos val="b"/>
        <c:numFmt formatCode="General" sourceLinked="1"/>
        <c:majorTickMark val="out"/>
        <c:minorTickMark val="none"/>
        <c:tickLblPos val="nextTo"/>
        <c:crossAx val="1260888991"/>
        <c:crosses val="autoZero"/>
        <c:auto val="1"/>
        <c:lblAlgn val="ctr"/>
        <c:lblOffset val="100"/>
        <c:noMultiLvlLbl val="0"/>
      </c:catAx>
      <c:valAx>
        <c:axId val="1260888991"/>
        <c:scaling>
          <c:orientation val="minMax"/>
        </c:scaling>
        <c:delete val="1"/>
        <c:axPos val="l"/>
        <c:numFmt formatCode="0.00" sourceLinked="1"/>
        <c:majorTickMark val="none"/>
        <c:minorTickMark val="none"/>
        <c:tickLblPos val="nextTo"/>
        <c:crossAx val="12608721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Material!PivotTable8</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10869347984164E-2"/>
          <c:y val="0.16440006714759661"/>
          <c:w val="0.92234723680952202"/>
          <c:h val="0.53249674924866741"/>
        </c:manualLayout>
      </c:layout>
      <c:barChart>
        <c:barDir val="col"/>
        <c:grouping val="clustered"/>
        <c:varyColors val="0"/>
        <c:ser>
          <c:idx val="0"/>
          <c:order val="0"/>
          <c:tx>
            <c:strRef>
              <c:f>'Pivot Material'!$U$17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Material'!$T$18:$T$26</c:f>
              <c:strCache>
                <c:ptCount val="8"/>
                <c:pt idx="0">
                  <c:v>0-09</c:v>
                </c:pt>
                <c:pt idx="1">
                  <c:v>10-19</c:v>
                </c:pt>
                <c:pt idx="2">
                  <c:v>20-29</c:v>
                </c:pt>
                <c:pt idx="3">
                  <c:v>30-39</c:v>
                </c:pt>
                <c:pt idx="4">
                  <c:v>40-49</c:v>
                </c:pt>
                <c:pt idx="5">
                  <c:v>50-59</c:v>
                </c:pt>
                <c:pt idx="6">
                  <c:v>60-69</c:v>
                </c:pt>
                <c:pt idx="7">
                  <c:v>70-79</c:v>
                </c:pt>
              </c:strCache>
            </c:strRef>
          </c:cat>
          <c:val>
            <c:numRef>
              <c:f>'Pivot Material'!$U$18:$U$26</c:f>
              <c:numCache>
                <c:formatCode>0</c:formatCode>
                <c:ptCount val="8"/>
                <c:pt idx="0">
                  <c:v>52</c:v>
                </c:pt>
                <c:pt idx="1">
                  <c:v>58</c:v>
                </c:pt>
                <c:pt idx="2">
                  <c:v>70</c:v>
                </c:pt>
                <c:pt idx="3">
                  <c:v>59</c:v>
                </c:pt>
                <c:pt idx="4">
                  <c:v>59</c:v>
                </c:pt>
                <c:pt idx="5">
                  <c:v>56</c:v>
                </c:pt>
                <c:pt idx="6">
                  <c:v>59</c:v>
                </c:pt>
                <c:pt idx="7">
                  <c:v>72</c:v>
                </c:pt>
              </c:numCache>
            </c:numRef>
          </c:val>
          <c:extLst>
            <c:ext xmlns:c16="http://schemas.microsoft.com/office/drawing/2014/chart" uri="{C3380CC4-5D6E-409C-BE32-E72D297353CC}">
              <c16:uniqueId val="{00000003-646C-4149-A76A-7B56E550D1D3}"/>
            </c:ext>
          </c:extLst>
        </c:ser>
        <c:dLbls>
          <c:showLegendKey val="0"/>
          <c:showVal val="0"/>
          <c:showCatName val="0"/>
          <c:showSerName val="0"/>
          <c:showPercent val="0"/>
          <c:showBubbleSize val="0"/>
        </c:dLbls>
        <c:gapWidth val="219"/>
        <c:overlap val="-27"/>
        <c:axId val="1260888511"/>
        <c:axId val="1260882271"/>
      </c:barChart>
      <c:catAx>
        <c:axId val="1260888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882271"/>
        <c:crosses val="autoZero"/>
        <c:auto val="1"/>
        <c:lblAlgn val="ctr"/>
        <c:lblOffset val="100"/>
        <c:noMultiLvlLbl val="0"/>
      </c:catAx>
      <c:valAx>
        <c:axId val="1260882271"/>
        <c:scaling>
          <c:orientation val="minMax"/>
        </c:scaling>
        <c:delete val="1"/>
        <c:axPos val="l"/>
        <c:numFmt formatCode="0" sourceLinked="1"/>
        <c:majorTickMark val="out"/>
        <c:minorTickMark val="none"/>
        <c:tickLblPos val="nextTo"/>
        <c:crossAx val="126088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Material!PivotTable9</c:name>
    <c:fmtId val="37"/>
  </c:pivotSource>
  <c:chart>
    <c:autoTitleDeleted val="1"/>
    <c:pivotFmts>
      <c:pivotFmt>
        <c:idx val="0"/>
      </c:pivotFmt>
      <c:pivotFmt>
        <c:idx val="1"/>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4608363941370448"/>
          <c:y val="0.23510801011926874"/>
          <c:w val="0.52887585839745377"/>
          <c:h val="0.71644204767844133"/>
        </c:manualLayout>
      </c:layout>
      <c:pieChart>
        <c:varyColors val="1"/>
        <c:ser>
          <c:idx val="0"/>
          <c:order val="0"/>
          <c:tx>
            <c:strRef>
              <c:f>'Pivot Material'!$Q$34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99A-4F5A-B9E5-03CD508226E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99A-4F5A-B9E5-03CD508226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Material'!$P$35:$P$37</c:f>
              <c:strCache>
                <c:ptCount val="2"/>
                <c:pt idx="0">
                  <c:v>Delay</c:v>
                </c:pt>
                <c:pt idx="1">
                  <c:v>OnTime</c:v>
                </c:pt>
              </c:strCache>
            </c:strRef>
          </c:cat>
          <c:val>
            <c:numRef>
              <c:f>'Pivot Material'!$Q$35:$Q$37</c:f>
              <c:numCache>
                <c:formatCode>0</c:formatCode>
                <c:ptCount val="2"/>
                <c:pt idx="0">
                  <c:v>297</c:v>
                </c:pt>
                <c:pt idx="1">
                  <c:v>188</c:v>
                </c:pt>
              </c:numCache>
            </c:numRef>
          </c:val>
          <c:extLst>
            <c:ext xmlns:c16="http://schemas.microsoft.com/office/drawing/2014/chart" uri="{C3380CC4-5D6E-409C-BE32-E72D297353CC}">
              <c16:uniqueId val="{0000000D-BE91-43F8-9CEF-51EDD508D2B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5882606990169704"/>
          <c:y val="5.3971229030799622E-2"/>
          <c:w val="0.69066786602801433"/>
          <c:h val="0.135872061013470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Material!PivotTable10</c:name>
    <c:fmtId val="4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3614396363805018"/>
          <c:y val="0.19061444275985973"/>
          <c:w val="0.54309081612781118"/>
          <c:h val="0.56021614431289457"/>
        </c:manualLayout>
      </c:layout>
      <c:doughnutChart>
        <c:varyColors val="1"/>
        <c:ser>
          <c:idx val="0"/>
          <c:order val="0"/>
          <c:tx>
            <c:strRef>
              <c:f>'Pivot Material'!$Y$33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746-418C-9521-4F4F7A94DC9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746-418C-9521-4F4F7A94DC9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Material'!$X$34:$X$36</c:f>
              <c:strCache>
                <c:ptCount val="2"/>
                <c:pt idx="0">
                  <c:v>Female</c:v>
                </c:pt>
                <c:pt idx="1">
                  <c:v>Male</c:v>
                </c:pt>
              </c:strCache>
            </c:strRef>
          </c:cat>
          <c:val>
            <c:numRef>
              <c:f>'Pivot Material'!$Y$34:$Y$36</c:f>
              <c:numCache>
                <c:formatCode>0</c:formatCode>
                <c:ptCount val="2"/>
                <c:pt idx="0">
                  <c:v>239</c:v>
                </c:pt>
                <c:pt idx="1">
                  <c:v>246</c:v>
                </c:pt>
              </c:numCache>
            </c:numRef>
          </c:val>
          <c:extLst>
            <c:ext xmlns:c16="http://schemas.microsoft.com/office/drawing/2014/chart" uri="{C3380CC4-5D6E-409C-BE32-E72D297353CC}">
              <c16:uniqueId val="{00000007-B6D7-441D-8A8F-42B500D10FDB}"/>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13473256110570012"/>
          <c:y val="4.4628504643460354E-2"/>
          <c:w val="0.75727248922884594"/>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Material!PivotTable11</c:name>
    <c:fmtId val="6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206189123368588"/>
          <c:y val="4.2640887570205566E-2"/>
          <c:w val="0.56335367884664667"/>
          <c:h val="0.91471822485958887"/>
        </c:manualLayout>
      </c:layout>
      <c:barChart>
        <c:barDir val="bar"/>
        <c:grouping val="clustered"/>
        <c:varyColors val="0"/>
        <c:ser>
          <c:idx val="0"/>
          <c:order val="0"/>
          <c:tx>
            <c:strRef>
              <c:f>'Pivot Material'!$W$43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Material'!$V$44:$V$52</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Material'!$W$44:$W$52</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3-38FA-4373-B0CE-D584E85DA689}"/>
            </c:ext>
          </c:extLst>
        </c:ser>
        <c:dLbls>
          <c:showLegendKey val="0"/>
          <c:showVal val="0"/>
          <c:showCatName val="0"/>
          <c:showSerName val="0"/>
          <c:showPercent val="0"/>
          <c:showBubbleSize val="0"/>
        </c:dLbls>
        <c:gapWidth val="62"/>
        <c:axId val="1424409023"/>
        <c:axId val="1424416223"/>
      </c:barChart>
      <c:catAx>
        <c:axId val="14244090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416223"/>
        <c:crosses val="autoZero"/>
        <c:auto val="1"/>
        <c:lblAlgn val="ctr"/>
        <c:lblOffset val="100"/>
        <c:noMultiLvlLbl val="0"/>
      </c:catAx>
      <c:valAx>
        <c:axId val="1424416223"/>
        <c:scaling>
          <c:orientation val="minMax"/>
        </c:scaling>
        <c:delete val="1"/>
        <c:axPos val="b"/>
        <c:numFmt formatCode="0" sourceLinked="1"/>
        <c:majorTickMark val="out"/>
        <c:minorTickMark val="none"/>
        <c:tickLblPos val="nextTo"/>
        <c:crossAx val="142440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Material!PivotTable4</c:name>
    <c:fmtId val="20"/>
  </c:pivotSource>
  <c:chart>
    <c:autoTitleDeleted val="1"/>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2.9176534451345396E-2"/>
          <c:y val="0.10997910260763114"/>
          <c:w val="0.93477318578420943"/>
          <c:h val="0.70918916744602323"/>
        </c:manualLayout>
      </c:layout>
      <c:areaChart>
        <c:grouping val="standard"/>
        <c:varyColors val="0"/>
        <c:ser>
          <c:idx val="0"/>
          <c:order val="0"/>
          <c:tx>
            <c:strRef>
              <c:f>'Pivot Material'!$B$16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Material'!$A$17:$A$47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Material'!$B$17:$B$47</c:f>
              <c:numCache>
                <c:formatCode>0.00</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1-A518-4D11-9F95-B5F7130A9E2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97575520"/>
        <c:axId val="397576000"/>
      </c:areaChart>
      <c:catAx>
        <c:axId val="3975755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97576000"/>
        <c:crosses val="autoZero"/>
        <c:auto val="1"/>
        <c:lblAlgn val="ctr"/>
        <c:lblOffset val="100"/>
        <c:noMultiLvlLbl val="0"/>
      </c:catAx>
      <c:valAx>
        <c:axId val="397576000"/>
        <c:scaling>
          <c:orientation val="minMax"/>
        </c:scaling>
        <c:delete val="1"/>
        <c:axPos val="l"/>
        <c:numFmt formatCode="0.00" sourceLinked="1"/>
        <c:majorTickMark val="out"/>
        <c:minorTickMark val="none"/>
        <c:tickLblPos val="nextTo"/>
        <c:crossAx val="397575520"/>
        <c:crosses val="autoZero"/>
        <c:crossBetween val="midCat"/>
      </c:valAx>
      <c:spPr>
        <a:solidFill>
          <a:schemeClr val="accent1">
            <a:lumMod val="7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Material!PivotTable5</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998727789548231E-2"/>
          <c:y val="0.10277326053012434"/>
          <c:w val="0.93899194883886405"/>
          <c:h val="0.71504434775408832"/>
        </c:manualLayout>
      </c:layout>
      <c:areaChart>
        <c:grouping val="standard"/>
        <c:varyColors val="0"/>
        <c:ser>
          <c:idx val="0"/>
          <c:order val="0"/>
          <c:tx>
            <c:strRef>
              <c:f>'Pivot Material'!$G$16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Material'!$F$17:$F$47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Material'!$G$17:$G$47</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2-AC55-44B8-A24F-BE33E2A259A4}"/>
            </c:ext>
          </c:extLst>
        </c:ser>
        <c:dLbls>
          <c:showLegendKey val="0"/>
          <c:showVal val="0"/>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60540703"/>
        <c:axId val="1960541183"/>
      </c:areaChart>
      <c:catAx>
        <c:axId val="1960540703"/>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60541183"/>
        <c:crosses val="autoZero"/>
        <c:auto val="1"/>
        <c:lblAlgn val="ctr"/>
        <c:lblOffset val="100"/>
        <c:noMultiLvlLbl val="0"/>
      </c:catAx>
      <c:valAx>
        <c:axId val="1960541183"/>
        <c:scaling>
          <c:orientation val="minMax"/>
        </c:scaling>
        <c:delete val="1"/>
        <c:axPos val="l"/>
        <c:numFmt formatCode="0.00" sourceLinked="1"/>
        <c:majorTickMark val="out"/>
        <c:minorTickMark val="none"/>
        <c:tickLblPos val="nextTo"/>
        <c:crossAx val="1960540703"/>
        <c:crosses val="autoZero"/>
        <c:crossBetween val="midCat"/>
      </c:valAx>
      <c:spPr>
        <a:solidFill>
          <a:schemeClr val="accent1">
            <a:lumMod val="7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Material!PivotTable6</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569824350099315E-2"/>
          <c:y val="0.11909635116866568"/>
          <c:w val="0.87319663167104111"/>
          <c:h val="0.64737627322963986"/>
        </c:manualLayout>
      </c:layout>
      <c:areaChart>
        <c:grouping val="standard"/>
        <c:varyColors val="0"/>
        <c:ser>
          <c:idx val="0"/>
          <c:order val="0"/>
          <c:tx>
            <c:strRef>
              <c:f>'Pivot Material'!$K$16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Material'!$J$17:$J$47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Material'!$K$17:$K$47</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2-5632-4F9D-A2CE-F313F9B1A113}"/>
            </c:ext>
          </c:extLst>
        </c:ser>
        <c:dLbls>
          <c:showLegendKey val="0"/>
          <c:showVal val="0"/>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60872191"/>
        <c:axId val="1260888991"/>
      </c:areaChart>
      <c:catAx>
        <c:axId val="1260872191"/>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60888991"/>
        <c:crosses val="autoZero"/>
        <c:auto val="1"/>
        <c:lblAlgn val="ctr"/>
        <c:lblOffset val="100"/>
        <c:noMultiLvlLbl val="0"/>
      </c:catAx>
      <c:valAx>
        <c:axId val="1260888991"/>
        <c:scaling>
          <c:orientation val="minMax"/>
        </c:scaling>
        <c:delete val="1"/>
        <c:axPos val="l"/>
        <c:numFmt formatCode="0.00" sourceLinked="1"/>
        <c:majorTickMark val="out"/>
        <c:minorTickMark val="none"/>
        <c:tickLblPos val="nextTo"/>
        <c:crossAx val="1260872191"/>
        <c:crosses val="autoZero"/>
        <c:crossBetween val="midCat"/>
      </c:valAx>
      <c:spPr>
        <a:solidFill>
          <a:schemeClr val="accent1">
            <a:lumMod val="75000"/>
          </a:schemeClr>
        </a:solidFill>
        <a:ln>
          <a:solidFill>
            <a:schemeClr val="accent1">
              <a:lumMod val="60000"/>
              <a:lumOff val="40000"/>
            </a:schemeClr>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Number of Patient in a day'!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fication Score for a day'!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 Wait time '!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49785</xdr:colOff>
      <xdr:row>91</xdr:row>
      <xdr:rowOff>1</xdr:rowOff>
    </xdr:from>
    <xdr:to>
      <xdr:col>4</xdr:col>
      <xdr:colOff>42782</xdr:colOff>
      <xdr:row>93</xdr:row>
      <xdr:rowOff>20061</xdr:rowOff>
    </xdr:to>
    <xdr:graphicFrame macro="">
      <xdr:nvGraphicFramePr>
        <xdr:cNvPr id="4" name="Chart 3">
          <a:extLst>
            <a:ext uri="{FF2B5EF4-FFF2-40B4-BE49-F238E27FC236}">
              <a16:creationId xmlns:a16="http://schemas.microsoft.com/office/drawing/2014/main" id="{72B00DCF-F482-F852-6738-DC4F3264D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59601</xdr:colOff>
      <xdr:row>3</xdr:row>
      <xdr:rowOff>100774</xdr:rowOff>
    </xdr:from>
    <xdr:to>
      <xdr:col>1</xdr:col>
      <xdr:colOff>157696</xdr:colOff>
      <xdr:row>15</xdr:row>
      <xdr:rowOff>167937</xdr:rowOff>
    </xdr:to>
    <xdr:sp macro="" textlink="">
      <xdr:nvSpPr>
        <xdr:cNvPr id="2" name="Rectangle: Rounded Corners 1">
          <a:extLst>
            <a:ext uri="{FF2B5EF4-FFF2-40B4-BE49-F238E27FC236}">
              <a16:creationId xmlns:a16="http://schemas.microsoft.com/office/drawing/2014/main" id="{062A59FC-D410-0551-EC1F-3C03B123C24E}"/>
            </a:ext>
          </a:extLst>
        </xdr:cNvPr>
        <xdr:cNvSpPr/>
      </xdr:nvSpPr>
      <xdr:spPr>
        <a:xfrm>
          <a:off x="59601" y="674124"/>
          <a:ext cx="708435" cy="2360561"/>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7</xdr:col>
      <xdr:colOff>213702</xdr:colOff>
      <xdr:row>0</xdr:row>
      <xdr:rowOff>48845</xdr:rowOff>
    </xdr:from>
    <xdr:to>
      <xdr:col>9</xdr:col>
      <xdr:colOff>311739</xdr:colOff>
      <xdr:row>7</xdr:row>
      <xdr:rowOff>26459</xdr:rowOff>
    </xdr:to>
    <xdr:sp macro="" textlink="">
      <xdr:nvSpPr>
        <xdr:cNvPr id="4" name="Rectangle: Rounded Corners 3">
          <a:extLst>
            <a:ext uri="{FF2B5EF4-FFF2-40B4-BE49-F238E27FC236}">
              <a16:creationId xmlns:a16="http://schemas.microsoft.com/office/drawing/2014/main" id="{75C5C30E-341A-E554-0D94-DFCF3537831A}"/>
            </a:ext>
          </a:extLst>
        </xdr:cNvPr>
        <xdr:cNvSpPr/>
      </xdr:nvSpPr>
      <xdr:spPr>
        <a:xfrm>
          <a:off x="4473494" y="48845"/>
          <a:ext cx="1315120" cy="1274072"/>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9</xdr:col>
      <xdr:colOff>422856</xdr:colOff>
      <xdr:row>0</xdr:row>
      <xdr:rowOff>68000</xdr:rowOff>
    </xdr:from>
    <xdr:to>
      <xdr:col>11</xdr:col>
      <xdr:colOff>558227</xdr:colOff>
      <xdr:row>7</xdr:row>
      <xdr:rowOff>26278</xdr:rowOff>
    </xdr:to>
    <xdr:sp macro="" textlink="">
      <xdr:nvSpPr>
        <xdr:cNvPr id="5" name="Rectangle: Rounded Corners 4">
          <a:extLst>
            <a:ext uri="{FF2B5EF4-FFF2-40B4-BE49-F238E27FC236}">
              <a16:creationId xmlns:a16="http://schemas.microsoft.com/office/drawing/2014/main" id="{D08D9C64-FDC3-8226-9080-379EADDFFD18}"/>
            </a:ext>
          </a:extLst>
        </xdr:cNvPr>
        <xdr:cNvSpPr/>
      </xdr:nvSpPr>
      <xdr:spPr>
        <a:xfrm>
          <a:off x="5942137" y="68000"/>
          <a:ext cx="1361878" cy="1328312"/>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53146</xdr:colOff>
      <xdr:row>0</xdr:row>
      <xdr:rowOff>53689</xdr:rowOff>
    </xdr:from>
    <xdr:to>
      <xdr:col>5</xdr:col>
      <xdr:colOff>311394</xdr:colOff>
      <xdr:row>3</xdr:row>
      <xdr:rowOff>30528</xdr:rowOff>
    </xdr:to>
    <xdr:sp macro="" textlink="">
      <xdr:nvSpPr>
        <xdr:cNvPr id="6" name="Rectangle: Rounded Corners 5">
          <a:extLst>
            <a:ext uri="{FF2B5EF4-FFF2-40B4-BE49-F238E27FC236}">
              <a16:creationId xmlns:a16="http://schemas.microsoft.com/office/drawing/2014/main" id="{94218D78-07DD-9071-21DA-E1DE941B3630}"/>
            </a:ext>
          </a:extLst>
        </xdr:cNvPr>
        <xdr:cNvSpPr/>
      </xdr:nvSpPr>
      <xdr:spPr>
        <a:xfrm>
          <a:off x="53146" y="53689"/>
          <a:ext cx="3311133" cy="544676"/>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5</xdr:col>
      <xdr:colOff>373404</xdr:colOff>
      <xdr:row>0</xdr:row>
      <xdr:rowOff>47271</xdr:rowOff>
    </xdr:from>
    <xdr:to>
      <xdr:col>7</xdr:col>
      <xdr:colOff>151014</xdr:colOff>
      <xdr:row>3</xdr:row>
      <xdr:rowOff>30460</xdr:rowOff>
    </xdr:to>
    <xdr:sp macro="" textlink="">
      <xdr:nvSpPr>
        <xdr:cNvPr id="7" name="Rectangle: Rounded Corners 6">
          <a:extLst>
            <a:ext uri="{FF2B5EF4-FFF2-40B4-BE49-F238E27FC236}">
              <a16:creationId xmlns:a16="http://schemas.microsoft.com/office/drawing/2014/main" id="{FAFA58EA-9D49-AB2E-647B-3738AB5413FF}"/>
            </a:ext>
          </a:extLst>
        </xdr:cNvPr>
        <xdr:cNvSpPr/>
      </xdr:nvSpPr>
      <xdr:spPr>
        <a:xfrm>
          <a:off x="3426289" y="47271"/>
          <a:ext cx="998763" cy="551026"/>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223242</xdr:colOff>
      <xdr:row>10</xdr:row>
      <xdr:rowOff>172037</xdr:rowOff>
    </xdr:from>
    <xdr:to>
      <xdr:col>7</xdr:col>
      <xdr:colOff>155251</xdr:colOff>
      <xdr:row>15</xdr:row>
      <xdr:rowOff>118657</xdr:rowOff>
    </xdr:to>
    <xdr:sp macro="" textlink="">
      <xdr:nvSpPr>
        <xdr:cNvPr id="13" name="Rectangle: Rounded Corners 12">
          <a:extLst>
            <a:ext uri="{FF2B5EF4-FFF2-40B4-BE49-F238E27FC236}">
              <a16:creationId xmlns:a16="http://schemas.microsoft.com/office/drawing/2014/main" id="{72C5B534-1A68-B801-FB09-CEBDC15F673B}"/>
            </a:ext>
          </a:extLst>
        </xdr:cNvPr>
        <xdr:cNvSpPr/>
      </xdr:nvSpPr>
      <xdr:spPr>
        <a:xfrm>
          <a:off x="833437" y="2106803"/>
          <a:ext cx="3593181" cy="914002"/>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5</xdr:col>
      <xdr:colOff>201489</xdr:colOff>
      <xdr:row>3</xdr:row>
      <xdr:rowOff>88117</xdr:rowOff>
    </xdr:from>
    <xdr:to>
      <xdr:col>7</xdr:col>
      <xdr:colOff>144575</xdr:colOff>
      <xdr:row>7</xdr:row>
      <xdr:rowOff>43297</xdr:rowOff>
    </xdr:to>
    <xdr:sp macro="" textlink="">
      <xdr:nvSpPr>
        <xdr:cNvPr id="18" name="Rectangle: Rounded Corners 17">
          <a:extLst>
            <a:ext uri="{FF2B5EF4-FFF2-40B4-BE49-F238E27FC236}">
              <a16:creationId xmlns:a16="http://schemas.microsoft.com/office/drawing/2014/main" id="{827487A4-8E5A-4514-9173-9538872B891E}"/>
            </a:ext>
          </a:extLst>
        </xdr:cNvPr>
        <xdr:cNvSpPr/>
      </xdr:nvSpPr>
      <xdr:spPr>
        <a:xfrm>
          <a:off x="3259230" y="656370"/>
          <a:ext cx="1166183" cy="71285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3</xdr:col>
      <xdr:colOff>201489</xdr:colOff>
      <xdr:row>3</xdr:row>
      <xdr:rowOff>88116</xdr:rowOff>
    </xdr:from>
    <xdr:to>
      <xdr:col>5</xdr:col>
      <xdr:colOff>148204</xdr:colOff>
      <xdr:row>7</xdr:row>
      <xdr:rowOff>44303</xdr:rowOff>
    </xdr:to>
    <xdr:sp macro="" textlink="">
      <xdr:nvSpPr>
        <xdr:cNvPr id="19" name="Rectangle: Rounded Corners 18">
          <a:extLst>
            <a:ext uri="{FF2B5EF4-FFF2-40B4-BE49-F238E27FC236}">
              <a16:creationId xmlns:a16="http://schemas.microsoft.com/office/drawing/2014/main" id="{37226B5F-9D86-43D1-B55E-A7946D3BB028}"/>
            </a:ext>
          </a:extLst>
        </xdr:cNvPr>
        <xdr:cNvSpPr/>
      </xdr:nvSpPr>
      <xdr:spPr>
        <a:xfrm>
          <a:off x="2028960" y="652971"/>
          <a:ext cx="1165029" cy="709326"/>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213701</xdr:colOff>
      <xdr:row>3</xdr:row>
      <xdr:rowOff>92314</xdr:rowOff>
    </xdr:from>
    <xdr:to>
      <xdr:col>3</xdr:col>
      <xdr:colOff>145352</xdr:colOff>
      <xdr:row>7</xdr:row>
      <xdr:rowOff>50006</xdr:rowOff>
    </xdr:to>
    <xdr:sp macro="" textlink="">
      <xdr:nvSpPr>
        <xdr:cNvPr id="20" name="Rectangle: Rounded Corners 19">
          <a:extLst>
            <a:ext uri="{FF2B5EF4-FFF2-40B4-BE49-F238E27FC236}">
              <a16:creationId xmlns:a16="http://schemas.microsoft.com/office/drawing/2014/main" id="{158743F1-0807-4E2D-80A7-E3351B6336C9}"/>
            </a:ext>
          </a:extLst>
        </xdr:cNvPr>
        <xdr:cNvSpPr/>
      </xdr:nvSpPr>
      <xdr:spPr>
        <a:xfrm>
          <a:off x="823301" y="663814"/>
          <a:ext cx="1150851" cy="719692"/>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7</xdr:col>
      <xdr:colOff>225914</xdr:colOff>
      <xdr:row>7</xdr:row>
      <xdr:rowOff>105834</xdr:rowOff>
    </xdr:from>
    <xdr:to>
      <xdr:col>11</xdr:col>
      <xdr:colOff>486520</xdr:colOff>
      <xdr:row>15</xdr:row>
      <xdr:rowOff>128512</xdr:rowOff>
    </xdr:to>
    <xdr:sp macro="" textlink="">
      <xdr:nvSpPr>
        <xdr:cNvPr id="28" name="Rectangle: Rounded Corners 27">
          <a:extLst>
            <a:ext uri="{FF2B5EF4-FFF2-40B4-BE49-F238E27FC236}">
              <a16:creationId xmlns:a16="http://schemas.microsoft.com/office/drawing/2014/main" id="{46EFF4DD-07AB-160D-B9CC-284BA627AF17}"/>
            </a:ext>
          </a:extLst>
        </xdr:cNvPr>
        <xdr:cNvSpPr/>
      </xdr:nvSpPr>
      <xdr:spPr>
        <a:xfrm>
          <a:off x="4512164" y="1428751"/>
          <a:ext cx="2709892" cy="1534582"/>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115927</xdr:colOff>
      <xdr:row>1</xdr:row>
      <xdr:rowOff>8851</xdr:rowOff>
    </xdr:from>
    <xdr:to>
      <xdr:col>3</xdr:col>
      <xdr:colOff>600490</xdr:colOff>
      <xdr:row>2</xdr:row>
      <xdr:rowOff>81011</xdr:rowOff>
    </xdr:to>
    <xdr:sp macro="" textlink="">
      <xdr:nvSpPr>
        <xdr:cNvPr id="29" name="TextBox 28">
          <a:extLst>
            <a:ext uri="{FF2B5EF4-FFF2-40B4-BE49-F238E27FC236}">
              <a16:creationId xmlns:a16="http://schemas.microsoft.com/office/drawing/2014/main" id="{D78602CC-49F7-01EB-C2E6-C45B1F27513D}"/>
            </a:ext>
          </a:extLst>
        </xdr:cNvPr>
        <xdr:cNvSpPr txBox="1"/>
      </xdr:nvSpPr>
      <xdr:spPr>
        <a:xfrm>
          <a:off x="115927" y="198130"/>
          <a:ext cx="2316294" cy="261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1600"/>
            <a:t>Hospital Emergency</a:t>
          </a:r>
          <a:r>
            <a:rPr lang="en-IN" sz="1600" baseline="0"/>
            <a:t> Room</a:t>
          </a:r>
          <a:endParaRPr lang="en-IN" sz="1600"/>
        </a:p>
      </xdr:txBody>
    </xdr:sp>
    <xdr:clientData/>
  </xdr:twoCellAnchor>
  <xdr:twoCellAnchor editAs="oneCell">
    <xdr:from>
      <xdr:col>3</xdr:col>
      <xdr:colOff>437256</xdr:colOff>
      <xdr:row>0</xdr:row>
      <xdr:rowOff>13461</xdr:rowOff>
    </xdr:from>
    <xdr:to>
      <xdr:col>5</xdr:col>
      <xdr:colOff>333069</xdr:colOff>
      <xdr:row>3</xdr:row>
      <xdr:rowOff>51343</xdr:rowOff>
    </xdr:to>
    <xdr:pic>
      <xdr:nvPicPr>
        <xdr:cNvPr id="31" name="Picture 30">
          <a:extLst>
            <a:ext uri="{FF2B5EF4-FFF2-40B4-BE49-F238E27FC236}">
              <a16:creationId xmlns:a16="http://schemas.microsoft.com/office/drawing/2014/main" id="{1E322061-37C9-4F16-FD23-4688D0400E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68987" y="13461"/>
          <a:ext cx="1116967" cy="605719"/>
        </a:xfrm>
        <a:prstGeom prst="rect">
          <a:avLst/>
        </a:prstGeom>
      </xdr:spPr>
    </xdr:pic>
    <xdr:clientData/>
  </xdr:twoCellAnchor>
  <xdr:twoCellAnchor editAs="absolute">
    <xdr:from>
      <xdr:col>1</xdr:col>
      <xdr:colOff>249921</xdr:colOff>
      <xdr:row>4</xdr:row>
      <xdr:rowOff>47095</xdr:rowOff>
    </xdr:from>
    <xdr:to>
      <xdr:col>3</xdr:col>
      <xdr:colOff>159075</xdr:colOff>
      <xdr:row>5</xdr:row>
      <xdr:rowOff>69824</xdr:rowOff>
    </xdr:to>
    <xdr:sp macro="" textlink="'Pivot Material'!A4">
      <xdr:nvSpPr>
        <xdr:cNvPr id="32" name="TextBox 31">
          <a:extLst>
            <a:ext uri="{FF2B5EF4-FFF2-40B4-BE49-F238E27FC236}">
              <a16:creationId xmlns:a16="http://schemas.microsoft.com/office/drawing/2014/main" id="{53CEBE61-BAE0-4C04-AB1D-AA0AD4C38274}"/>
            </a:ext>
          </a:extLst>
        </xdr:cNvPr>
        <xdr:cNvSpPr txBox="1"/>
      </xdr:nvSpPr>
      <xdr:spPr>
        <a:xfrm>
          <a:off x="859521" y="809095"/>
          <a:ext cx="1128354" cy="213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fld id="{D09C7128-E07E-45EB-B8CE-1D195C038891}" type="TxLink">
            <a:rPr lang="en-US" sz="1100" b="0" i="0" u="none" strike="noStrike">
              <a:solidFill>
                <a:srgbClr val="000000"/>
              </a:solidFill>
              <a:latin typeface="Calibri"/>
              <a:ea typeface="Calibri"/>
              <a:cs typeface="Calibri"/>
            </a:rPr>
            <a:pPr algn="ctr"/>
            <a:t>485</a:t>
          </a:fld>
          <a:endParaRPr lang="en-IN" sz="1400"/>
        </a:p>
      </xdr:txBody>
    </xdr:sp>
    <xdr:clientData/>
  </xdr:twoCellAnchor>
  <xdr:twoCellAnchor editAs="absolute">
    <xdr:from>
      <xdr:col>1</xdr:col>
      <xdr:colOff>415881</xdr:colOff>
      <xdr:row>14</xdr:row>
      <xdr:rowOff>167942</xdr:rowOff>
    </xdr:from>
    <xdr:to>
      <xdr:col>6</xdr:col>
      <xdr:colOff>422588</xdr:colOff>
      <xdr:row>15</xdr:row>
      <xdr:rowOff>160234</xdr:rowOff>
    </xdr:to>
    <xdr:sp macro="" textlink="">
      <xdr:nvSpPr>
        <xdr:cNvPr id="34" name="TextBox 33">
          <a:extLst>
            <a:ext uri="{FF2B5EF4-FFF2-40B4-BE49-F238E27FC236}">
              <a16:creationId xmlns:a16="http://schemas.microsoft.com/office/drawing/2014/main" id="{21F5BDA0-F45F-4CDF-B6EB-591B7F858D1C}"/>
            </a:ext>
          </a:extLst>
        </xdr:cNvPr>
        <xdr:cNvSpPr txBox="1"/>
      </xdr:nvSpPr>
      <xdr:spPr>
        <a:xfrm>
          <a:off x="1026286" y="2797379"/>
          <a:ext cx="3058732" cy="180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900"/>
            <a:t>No. of Patient</a:t>
          </a:r>
          <a:r>
            <a:rPr lang="en-IN" sz="900" baseline="0"/>
            <a:t> by </a:t>
          </a:r>
          <a:r>
            <a:rPr lang="en-IN" sz="900"/>
            <a:t>Age</a:t>
          </a:r>
          <a:r>
            <a:rPr lang="en-IN" sz="900" baseline="0"/>
            <a:t> Grp </a:t>
          </a:r>
          <a:endParaRPr lang="en-IN" sz="900"/>
        </a:p>
      </xdr:txBody>
    </xdr:sp>
    <xdr:clientData/>
  </xdr:twoCellAnchor>
  <xdr:twoCellAnchor editAs="absolute">
    <xdr:from>
      <xdr:col>1</xdr:col>
      <xdr:colOff>222552</xdr:colOff>
      <xdr:row>3</xdr:row>
      <xdr:rowOff>67010</xdr:rowOff>
    </xdr:from>
    <xdr:to>
      <xdr:col>3</xdr:col>
      <xdr:colOff>131706</xdr:colOff>
      <xdr:row>4</xdr:row>
      <xdr:rowOff>139169</xdr:rowOff>
    </xdr:to>
    <xdr:sp macro="" textlink="'Pivot Material'!A4">
      <xdr:nvSpPr>
        <xdr:cNvPr id="35" name="TextBox 34">
          <a:extLst>
            <a:ext uri="{FF2B5EF4-FFF2-40B4-BE49-F238E27FC236}">
              <a16:creationId xmlns:a16="http://schemas.microsoft.com/office/drawing/2014/main" id="{5DF86B03-A82D-4E91-B8F7-DD85C484AB3E}"/>
            </a:ext>
          </a:extLst>
        </xdr:cNvPr>
        <xdr:cNvSpPr txBox="1"/>
      </xdr:nvSpPr>
      <xdr:spPr>
        <a:xfrm>
          <a:off x="832152" y="638510"/>
          <a:ext cx="1128354" cy="262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900"/>
            <a:t>No.</a:t>
          </a:r>
          <a:r>
            <a:rPr lang="en-IN" sz="900" baseline="0"/>
            <a:t> of Patient</a:t>
          </a:r>
          <a:endParaRPr lang="en-IN" sz="900"/>
        </a:p>
      </xdr:txBody>
    </xdr:sp>
    <xdr:clientData/>
  </xdr:twoCellAnchor>
  <xdr:twoCellAnchor editAs="absolute">
    <xdr:from>
      <xdr:col>3</xdr:col>
      <xdr:colOff>231059</xdr:colOff>
      <xdr:row>4</xdr:row>
      <xdr:rowOff>10159</xdr:rowOff>
    </xdr:from>
    <xdr:to>
      <xdr:col>5</xdr:col>
      <xdr:colOff>149481</xdr:colOff>
      <xdr:row>5</xdr:row>
      <xdr:rowOff>36992</xdr:rowOff>
    </xdr:to>
    <xdr:sp macro="" textlink="'Pivot Material'!A8">
      <xdr:nvSpPr>
        <xdr:cNvPr id="36" name="TextBox 35">
          <a:extLst>
            <a:ext uri="{FF2B5EF4-FFF2-40B4-BE49-F238E27FC236}">
              <a16:creationId xmlns:a16="http://schemas.microsoft.com/office/drawing/2014/main" id="{B01D7484-CBD2-42B2-B072-3A96F4881A1A}"/>
            </a:ext>
          </a:extLst>
        </xdr:cNvPr>
        <xdr:cNvSpPr txBox="1"/>
      </xdr:nvSpPr>
      <xdr:spPr>
        <a:xfrm>
          <a:off x="2059859" y="772159"/>
          <a:ext cx="1137622" cy="21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fld id="{691657B1-9CC2-430A-978A-8199581D9637}" type="TxLink">
            <a:rPr lang="en-US" sz="1100" b="0" i="0" u="none" strike="noStrike">
              <a:solidFill>
                <a:srgbClr val="000000"/>
              </a:solidFill>
              <a:latin typeface="Calibri"/>
              <a:ea typeface="Calibri"/>
              <a:cs typeface="Calibri"/>
            </a:rPr>
            <a:pPr algn="ctr"/>
            <a:t>35.51</a:t>
          </a:fld>
          <a:endParaRPr lang="en-IN" sz="1600"/>
        </a:p>
      </xdr:txBody>
    </xdr:sp>
    <xdr:clientData/>
  </xdr:twoCellAnchor>
  <xdr:twoCellAnchor editAs="absolute">
    <xdr:from>
      <xdr:col>3</xdr:col>
      <xdr:colOff>196161</xdr:colOff>
      <xdr:row>3</xdr:row>
      <xdr:rowOff>38237</xdr:rowOff>
    </xdr:from>
    <xdr:to>
      <xdr:col>5</xdr:col>
      <xdr:colOff>105315</xdr:colOff>
      <xdr:row>4</xdr:row>
      <xdr:rowOff>110396</xdr:rowOff>
    </xdr:to>
    <xdr:sp macro="" textlink="'Pivot Material'!A4">
      <xdr:nvSpPr>
        <xdr:cNvPr id="37" name="TextBox 36">
          <a:extLst>
            <a:ext uri="{FF2B5EF4-FFF2-40B4-BE49-F238E27FC236}">
              <a16:creationId xmlns:a16="http://schemas.microsoft.com/office/drawing/2014/main" id="{4D2E8E7B-41E3-4BD6-AA40-2530663E944C}"/>
            </a:ext>
          </a:extLst>
        </xdr:cNvPr>
        <xdr:cNvSpPr txBox="1"/>
      </xdr:nvSpPr>
      <xdr:spPr>
        <a:xfrm>
          <a:off x="2024961" y="609737"/>
          <a:ext cx="1128354" cy="262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900"/>
            <a:t>Avg</a:t>
          </a:r>
          <a:r>
            <a:rPr lang="en-IN" sz="900" baseline="0"/>
            <a:t>. wait Time</a:t>
          </a:r>
          <a:endParaRPr lang="en-IN" sz="900"/>
        </a:p>
      </xdr:txBody>
    </xdr:sp>
    <xdr:clientData/>
  </xdr:twoCellAnchor>
  <xdr:twoCellAnchor editAs="absolute">
    <xdr:from>
      <xdr:col>5</xdr:col>
      <xdr:colOff>217773</xdr:colOff>
      <xdr:row>4</xdr:row>
      <xdr:rowOff>89105</xdr:rowOff>
    </xdr:from>
    <xdr:to>
      <xdr:col>7</xdr:col>
      <xdr:colOff>126927</xdr:colOff>
      <xdr:row>5</xdr:row>
      <xdr:rowOff>122299</xdr:rowOff>
    </xdr:to>
    <xdr:sp macro="" textlink="'Pivot Material'!A13">
      <xdr:nvSpPr>
        <xdr:cNvPr id="38" name="TextBox 37">
          <a:extLst>
            <a:ext uri="{FF2B5EF4-FFF2-40B4-BE49-F238E27FC236}">
              <a16:creationId xmlns:a16="http://schemas.microsoft.com/office/drawing/2014/main" id="{7E70C725-A075-4F34-A4E6-0F188350728D}"/>
            </a:ext>
          </a:extLst>
        </xdr:cNvPr>
        <xdr:cNvSpPr txBox="1"/>
      </xdr:nvSpPr>
      <xdr:spPr>
        <a:xfrm>
          <a:off x="3259628" y="851105"/>
          <a:ext cx="1125896" cy="223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fld id="{CB3BBF81-244E-4D0A-BD40-C05940FFF753}" type="TxLink">
            <a:rPr lang="en-US" sz="1100" b="0" i="0" u="none" strike="noStrike">
              <a:solidFill>
                <a:srgbClr val="000000"/>
              </a:solidFill>
              <a:latin typeface="Calibri"/>
              <a:ea typeface="Calibri"/>
              <a:cs typeface="Calibri"/>
            </a:rPr>
            <a:pPr algn="ctr"/>
            <a:t>4.71</a:t>
          </a:fld>
          <a:endParaRPr lang="en-IN" sz="1600"/>
        </a:p>
      </xdr:txBody>
    </xdr:sp>
    <xdr:clientData/>
  </xdr:twoCellAnchor>
  <xdr:twoCellAnchor editAs="absolute">
    <xdr:from>
      <xdr:col>5</xdr:col>
      <xdr:colOff>194999</xdr:colOff>
      <xdr:row>3</xdr:row>
      <xdr:rowOff>67931</xdr:rowOff>
    </xdr:from>
    <xdr:to>
      <xdr:col>7</xdr:col>
      <xdr:colOff>108750</xdr:colOff>
      <xdr:row>4</xdr:row>
      <xdr:rowOff>140090</xdr:rowOff>
    </xdr:to>
    <xdr:sp macro="" textlink="'Pivot Material'!A4">
      <xdr:nvSpPr>
        <xdr:cNvPr id="39" name="TextBox 38">
          <a:extLst>
            <a:ext uri="{FF2B5EF4-FFF2-40B4-BE49-F238E27FC236}">
              <a16:creationId xmlns:a16="http://schemas.microsoft.com/office/drawing/2014/main" id="{107D0FE9-B2BF-4C7B-A180-D6DB9AC97A93}"/>
            </a:ext>
          </a:extLst>
        </xdr:cNvPr>
        <xdr:cNvSpPr txBox="1"/>
      </xdr:nvSpPr>
      <xdr:spPr>
        <a:xfrm>
          <a:off x="3251249" y="641681"/>
          <a:ext cx="1136251" cy="263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900" baseline="0"/>
            <a:t>Statfication Score</a:t>
          </a:r>
          <a:endParaRPr lang="en-IN" sz="900"/>
        </a:p>
      </xdr:txBody>
    </xdr:sp>
    <xdr:clientData/>
  </xdr:twoCellAnchor>
  <xdr:twoCellAnchor editAs="oneCell">
    <xdr:from>
      <xdr:col>2</xdr:col>
      <xdr:colOff>508840</xdr:colOff>
      <xdr:row>3</xdr:row>
      <xdr:rowOff>78302</xdr:rowOff>
    </xdr:from>
    <xdr:to>
      <xdr:col>3</xdr:col>
      <xdr:colOff>130238</xdr:colOff>
      <xdr:row>4</xdr:row>
      <xdr:rowOff>94021</xdr:rowOff>
    </xdr:to>
    <xdr:pic>
      <xdr:nvPicPr>
        <xdr:cNvPr id="41" name="Graphic 40" descr="User with solid fill">
          <a:extLst>
            <a:ext uri="{FF2B5EF4-FFF2-40B4-BE49-F238E27FC236}">
              <a16:creationId xmlns:a16="http://schemas.microsoft.com/office/drawing/2014/main" id="{8DF5B1DD-19E4-6DFE-E101-13D142203C7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28040" y="649802"/>
          <a:ext cx="230998" cy="206219"/>
        </a:xfrm>
        <a:prstGeom prst="rect">
          <a:avLst/>
        </a:prstGeom>
      </xdr:spPr>
    </xdr:pic>
    <xdr:clientData/>
  </xdr:twoCellAnchor>
  <xdr:twoCellAnchor editAs="oneCell">
    <xdr:from>
      <xdr:col>4</xdr:col>
      <xdr:colOff>526369</xdr:colOff>
      <xdr:row>3</xdr:row>
      <xdr:rowOff>78155</xdr:rowOff>
    </xdr:from>
    <xdr:to>
      <xdr:col>5</xdr:col>
      <xdr:colOff>124382</xdr:colOff>
      <xdr:row>4</xdr:row>
      <xdr:rowOff>97844</xdr:rowOff>
    </xdr:to>
    <xdr:pic>
      <xdr:nvPicPr>
        <xdr:cNvPr id="43" name="Graphic 42" descr="Clock with solid fill">
          <a:extLst>
            <a:ext uri="{FF2B5EF4-FFF2-40B4-BE49-F238E27FC236}">
              <a16:creationId xmlns:a16="http://schemas.microsoft.com/office/drawing/2014/main" id="{25B1E82F-0D9E-12AB-11B8-A50A717363E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64769" y="649655"/>
          <a:ext cx="207613" cy="210189"/>
        </a:xfrm>
        <a:prstGeom prst="rect">
          <a:avLst/>
        </a:prstGeom>
      </xdr:spPr>
    </xdr:pic>
    <xdr:clientData/>
  </xdr:twoCellAnchor>
  <xdr:twoCellAnchor editAs="oneCell">
    <xdr:from>
      <xdr:col>6</xdr:col>
      <xdr:colOff>579490</xdr:colOff>
      <xdr:row>3</xdr:row>
      <xdr:rowOff>108445</xdr:rowOff>
    </xdr:from>
    <xdr:to>
      <xdr:col>7</xdr:col>
      <xdr:colOff>149268</xdr:colOff>
      <xdr:row>4</xdr:row>
      <xdr:rowOff>97500</xdr:rowOff>
    </xdr:to>
    <xdr:pic>
      <xdr:nvPicPr>
        <xdr:cNvPr id="45" name="Graphic 44" descr="Star with solid fill">
          <a:extLst>
            <a:ext uri="{FF2B5EF4-FFF2-40B4-BE49-F238E27FC236}">
              <a16:creationId xmlns:a16="http://schemas.microsoft.com/office/drawing/2014/main" id="{888C2F10-4FE6-A73D-DC11-EB7D37A5308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246990" y="682195"/>
          <a:ext cx="181028" cy="180305"/>
        </a:xfrm>
        <a:prstGeom prst="rect">
          <a:avLst/>
        </a:prstGeom>
      </xdr:spPr>
    </xdr:pic>
    <xdr:clientData/>
  </xdr:twoCellAnchor>
  <xdr:twoCellAnchor editAs="oneCell">
    <xdr:from>
      <xdr:col>0</xdr:col>
      <xdr:colOff>116009</xdr:colOff>
      <xdr:row>3</xdr:row>
      <xdr:rowOff>132292</xdr:rowOff>
    </xdr:from>
    <xdr:to>
      <xdr:col>1</xdr:col>
      <xdr:colOff>73269</xdr:colOff>
      <xdr:row>15</xdr:row>
      <xdr:rowOff>118723</xdr:rowOff>
    </xdr:to>
    <mc:AlternateContent xmlns:mc="http://schemas.openxmlformats.org/markup-compatibility/2006" xmlns:a14="http://schemas.microsoft.com/office/drawing/2010/main">
      <mc:Choice Requires="a14">
        <xdr:graphicFrame macro="">
          <xdr:nvGraphicFramePr>
            <xdr:cNvPr id="46" name="Column1 (Month)">
              <a:extLst>
                <a:ext uri="{FF2B5EF4-FFF2-40B4-BE49-F238E27FC236}">
                  <a16:creationId xmlns:a16="http://schemas.microsoft.com/office/drawing/2014/main" id="{A46A8837-E9FE-4632-B08E-C748632E9D93}"/>
                </a:ext>
              </a:extLst>
            </xdr:cNvPr>
            <xdr:cNvGraphicFramePr/>
          </xdr:nvGraphicFramePr>
          <xdr:xfrm>
            <a:off x="0" y="0"/>
            <a:ext cx="0" cy="0"/>
          </xdr:xfrm>
          <a:graphic>
            <a:graphicData uri="http://schemas.microsoft.com/office/drawing/2010/slicer">
              <sle:slicer xmlns:sle="http://schemas.microsoft.com/office/drawing/2010/slicer" name="Column1 (Month)"/>
            </a:graphicData>
          </a:graphic>
        </xdr:graphicFrame>
      </mc:Choice>
      <mc:Fallback xmlns="">
        <xdr:sp macro="" textlink="">
          <xdr:nvSpPr>
            <xdr:cNvPr id="0" name=""/>
            <xdr:cNvSpPr>
              <a:spLocks noTextEdit="1"/>
            </xdr:cNvSpPr>
          </xdr:nvSpPr>
          <xdr:spPr>
            <a:xfrm>
              <a:off x="116009" y="699429"/>
              <a:ext cx="568023" cy="2254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209550</xdr:colOff>
      <xdr:row>5</xdr:row>
      <xdr:rowOff>71438</xdr:rowOff>
    </xdr:from>
    <xdr:to>
      <xdr:col>3</xdr:col>
      <xdr:colOff>157114</xdr:colOff>
      <xdr:row>7</xdr:row>
      <xdr:rowOff>65280</xdr:rowOff>
    </xdr:to>
    <xdr:graphicFrame macro="">
      <xdr:nvGraphicFramePr>
        <xdr:cNvPr id="3" name="Chart 2">
          <a:hlinkClick xmlns:r="http://schemas.openxmlformats.org/officeDocument/2006/relationships" r:id="rId8"/>
          <a:extLst>
            <a:ext uri="{FF2B5EF4-FFF2-40B4-BE49-F238E27FC236}">
              <a16:creationId xmlns:a16="http://schemas.microsoft.com/office/drawing/2014/main" id="{6FBA50E5-8015-44D4-9653-4F6B025B5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194087</xdr:colOff>
      <xdr:row>5</xdr:row>
      <xdr:rowOff>62640</xdr:rowOff>
    </xdr:from>
    <xdr:to>
      <xdr:col>5</xdr:col>
      <xdr:colOff>171879</xdr:colOff>
      <xdr:row>7</xdr:row>
      <xdr:rowOff>61911</xdr:rowOff>
    </xdr:to>
    <xdr:graphicFrame macro="">
      <xdr:nvGraphicFramePr>
        <xdr:cNvPr id="9" name="Chart 8">
          <a:hlinkClick xmlns:r="http://schemas.openxmlformats.org/officeDocument/2006/relationships" r:id="rId10"/>
          <a:extLst>
            <a:ext uri="{FF2B5EF4-FFF2-40B4-BE49-F238E27FC236}">
              <a16:creationId xmlns:a16="http://schemas.microsoft.com/office/drawing/2014/main" id="{A927E802-97A5-44D3-AFB4-8969A977B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194605</xdr:colOff>
      <xdr:row>5</xdr:row>
      <xdr:rowOff>85265</xdr:rowOff>
    </xdr:from>
    <xdr:to>
      <xdr:col>7</xdr:col>
      <xdr:colOff>153915</xdr:colOff>
      <xdr:row>7</xdr:row>
      <xdr:rowOff>64293</xdr:rowOff>
    </xdr:to>
    <xdr:graphicFrame macro="">
      <xdr:nvGraphicFramePr>
        <xdr:cNvPr id="11" name="Chart 10">
          <a:hlinkClick xmlns:r="http://schemas.openxmlformats.org/officeDocument/2006/relationships" r:id="rId12"/>
          <a:extLst>
            <a:ext uri="{FF2B5EF4-FFF2-40B4-BE49-F238E27FC236}">
              <a16:creationId xmlns:a16="http://schemas.microsoft.com/office/drawing/2014/main" id="{1B77BC40-233F-4A00-B2E8-BBF02E698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203073</xdr:colOff>
          <xdr:row>7</xdr:row>
          <xdr:rowOff>101536</xdr:rowOff>
        </xdr:from>
        <xdr:to>
          <xdr:col>7</xdr:col>
          <xdr:colOff>164392</xdr:colOff>
          <xdr:row>10</xdr:row>
          <xdr:rowOff>130546</xdr:rowOff>
        </xdr:to>
        <xdr:pic>
          <xdr:nvPicPr>
            <xdr:cNvPr id="22" name="Picture 21">
              <a:extLst>
                <a:ext uri="{FF2B5EF4-FFF2-40B4-BE49-F238E27FC236}">
                  <a16:creationId xmlns:a16="http://schemas.microsoft.com/office/drawing/2014/main" id="{21884A05-52E1-CF4F-D548-940D12680DD2}"/>
                </a:ext>
              </a:extLst>
            </xdr:cNvPr>
            <xdr:cNvPicPr>
              <a:picLocks noChangeAspect="1" noChangeArrowheads="1"/>
              <a:extLst>
                <a:ext uri="{84589F7E-364E-4C9E-8A38-B11213B215E9}">
                  <a14:cameraTool cellRange="'Pivot Material'!$A$91:$D$93" spid="_x0000_s1035"/>
                </a:ext>
              </a:extLst>
            </xdr:cNvPicPr>
          </xdr:nvPicPr>
          <xdr:blipFill>
            <a:blip xmlns:r="http://schemas.openxmlformats.org/officeDocument/2006/relationships" r:embed="rId14"/>
            <a:srcRect/>
            <a:stretch>
              <a:fillRect/>
            </a:stretch>
          </xdr:blipFill>
          <xdr:spPr bwMode="auto">
            <a:xfrm>
              <a:off x="812286" y="1421498"/>
              <a:ext cx="3616598" cy="594708"/>
            </a:xfrm>
            <a:prstGeom prst="roundRect">
              <a:avLst>
                <a:gd name="adj" fmla="val 16667"/>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1</xdr:col>
      <xdr:colOff>259049</xdr:colOff>
      <xdr:row>10</xdr:row>
      <xdr:rowOff>91654</xdr:rowOff>
    </xdr:from>
    <xdr:to>
      <xdr:col>7</xdr:col>
      <xdr:colOff>209246</xdr:colOff>
      <xdr:row>15</xdr:row>
      <xdr:rowOff>58037</xdr:rowOff>
    </xdr:to>
    <xdr:graphicFrame macro="">
      <xdr:nvGraphicFramePr>
        <xdr:cNvPr id="27" name="Chart 26">
          <a:extLst>
            <a:ext uri="{FF2B5EF4-FFF2-40B4-BE49-F238E27FC236}">
              <a16:creationId xmlns:a16="http://schemas.microsoft.com/office/drawing/2014/main" id="{9C75BCC6-7B96-4F54-AB0D-88DBDBB21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95250</xdr:colOff>
      <xdr:row>0</xdr:row>
      <xdr:rowOff>30079</xdr:rowOff>
    </xdr:from>
    <xdr:to>
      <xdr:col>9</xdr:col>
      <xdr:colOff>406066</xdr:colOff>
      <xdr:row>5</xdr:row>
      <xdr:rowOff>95250</xdr:rowOff>
    </xdr:to>
    <xdr:graphicFrame macro="">
      <xdr:nvGraphicFramePr>
        <xdr:cNvPr id="30" name="Chart 29">
          <a:extLst>
            <a:ext uri="{FF2B5EF4-FFF2-40B4-BE49-F238E27FC236}">
              <a16:creationId xmlns:a16="http://schemas.microsoft.com/office/drawing/2014/main" id="{06B4D0A9-8AC4-4134-9334-0FD6EC2AE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235812</xdr:colOff>
      <xdr:row>6</xdr:row>
      <xdr:rowOff>8753</xdr:rowOff>
    </xdr:from>
    <xdr:to>
      <xdr:col>9</xdr:col>
      <xdr:colOff>288436</xdr:colOff>
      <xdr:row>6</xdr:row>
      <xdr:rowOff>120316</xdr:rowOff>
    </xdr:to>
    <xdr:sp macro="" textlink="">
      <xdr:nvSpPr>
        <xdr:cNvPr id="42" name="TextBox 41">
          <a:extLst>
            <a:ext uri="{FF2B5EF4-FFF2-40B4-BE49-F238E27FC236}">
              <a16:creationId xmlns:a16="http://schemas.microsoft.com/office/drawing/2014/main" id="{E2BFA5B8-2225-41A5-8824-17C17787AFCF}"/>
            </a:ext>
          </a:extLst>
        </xdr:cNvPr>
        <xdr:cNvSpPr txBox="1"/>
      </xdr:nvSpPr>
      <xdr:spPr>
        <a:xfrm>
          <a:off x="4517049" y="1151753"/>
          <a:ext cx="1275834" cy="111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900"/>
            <a:t>Patient Attended</a:t>
          </a:r>
          <a:r>
            <a:rPr lang="en-IN" sz="900" baseline="0"/>
            <a:t> Status</a:t>
          </a:r>
          <a:endParaRPr lang="en-IN" sz="900"/>
        </a:p>
      </xdr:txBody>
    </xdr:sp>
    <xdr:clientData/>
  </xdr:twoCellAnchor>
  <xdr:twoCellAnchor>
    <xdr:from>
      <xdr:col>9</xdr:col>
      <xdr:colOff>404091</xdr:colOff>
      <xdr:row>0</xdr:row>
      <xdr:rowOff>0</xdr:rowOff>
    </xdr:from>
    <xdr:to>
      <xdr:col>11</xdr:col>
      <xdr:colOff>562841</xdr:colOff>
      <xdr:row>7</xdr:row>
      <xdr:rowOff>39077</xdr:rowOff>
    </xdr:to>
    <xdr:graphicFrame macro="">
      <xdr:nvGraphicFramePr>
        <xdr:cNvPr id="44" name="Chart 43">
          <a:extLst>
            <a:ext uri="{FF2B5EF4-FFF2-40B4-BE49-F238E27FC236}">
              <a16:creationId xmlns:a16="http://schemas.microsoft.com/office/drawing/2014/main" id="{877ACE7F-7C0B-4699-8FB8-F827ECA8E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433511</xdr:colOff>
      <xdr:row>5</xdr:row>
      <xdr:rowOff>184599</xdr:rowOff>
    </xdr:from>
    <xdr:to>
      <xdr:col>11</xdr:col>
      <xdr:colOff>486135</xdr:colOff>
      <xdr:row>6</xdr:row>
      <xdr:rowOff>105662</xdr:rowOff>
    </xdr:to>
    <xdr:sp macro="" textlink="">
      <xdr:nvSpPr>
        <xdr:cNvPr id="48" name="TextBox 47">
          <a:extLst>
            <a:ext uri="{FF2B5EF4-FFF2-40B4-BE49-F238E27FC236}">
              <a16:creationId xmlns:a16="http://schemas.microsoft.com/office/drawing/2014/main" id="{D2C60632-90EE-46A3-A2BD-1EFD052B3CE9}"/>
            </a:ext>
          </a:extLst>
        </xdr:cNvPr>
        <xdr:cNvSpPr txBox="1"/>
      </xdr:nvSpPr>
      <xdr:spPr>
        <a:xfrm>
          <a:off x="5928703" y="1137099"/>
          <a:ext cx="1273778" cy="111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900"/>
            <a:t>Gender</a:t>
          </a:r>
          <a:r>
            <a:rPr lang="en-IN" sz="900" baseline="0"/>
            <a:t> wise Report</a:t>
          </a:r>
          <a:endParaRPr lang="en-IN" sz="900"/>
        </a:p>
      </xdr:txBody>
    </xdr:sp>
    <xdr:clientData/>
  </xdr:twoCellAnchor>
  <xdr:twoCellAnchor>
    <xdr:from>
      <xdr:col>7</xdr:col>
      <xdr:colOff>302381</xdr:colOff>
      <xdr:row>7</xdr:row>
      <xdr:rowOff>128512</xdr:rowOff>
    </xdr:from>
    <xdr:to>
      <xdr:col>11</xdr:col>
      <xdr:colOff>377976</xdr:colOff>
      <xdr:row>14</xdr:row>
      <xdr:rowOff>143631</xdr:rowOff>
    </xdr:to>
    <xdr:graphicFrame macro="">
      <xdr:nvGraphicFramePr>
        <xdr:cNvPr id="49" name="Chart 48">
          <a:extLst>
            <a:ext uri="{FF2B5EF4-FFF2-40B4-BE49-F238E27FC236}">
              <a16:creationId xmlns:a16="http://schemas.microsoft.com/office/drawing/2014/main" id="{D2F87FFE-068C-4A20-8504-F26BB81D3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138109</xdr:colOff>
      <xdr:row>14</xdr:row>
      <xdr:rowOff>158750</xdr:rowOff>
    </xdr:from>
    <xdr:to>
      <xdr:col>10</xdr:col>
      <xdr:colOff>514048</xdr:colOff>
      <xdr:row>15</xdr:row>
      <xdr:rowOff>90544</xdr:rowOff>
    </xdr:to>
    <xdr:sp macro="" textlink="">
      <xdr:nvSpPr>
        <xdr:cNvPr id="50" name="TextBox 49">
          <a:extLst>
            <a:ext uri="{FF2B5EF4-FFF2-40B4-BE49-F238E27FC236}">
              <a16:creationId xmlns:a16="http://schemas.microsoft.com/office/drawing/2014/main" id="{06AB7E90-1A65-4FBC-A827-111447C627A3}"/>
            </a:ext>
          </a:extLst>
        </xdr:cNvPr>
        <xdr:cNvSpPr txBox="1"/>
      </xdr:nvSpPr>
      <xdr:spPr>
        <a:xfrm>
          <a:off x="5036680" y="2804583"/>
          <a:ext cx="1600582" cy="120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900"/>
            <a:t>Patient</a:t>
          </a:r>
          <a:r>
            <a:rPr lang="en-IN" sz="900" baseline="0"/>
            <a:t> by Department  Referal</a:t>
          </a:r>
          <a:endParaRPr lang="en-IN" sz="900"/>
        </a:p>
      </xdr:txBody>
    </xdr:sp>
    <xdr:clientData/>
  </xdr:twoCellAnchor>
  <xdr:twoCellAnchor editAs="oneCell">
    <xdr:from>
      <xdr:col>5</xdr:col>
      <xdr:colOff>368552</xdr:colOff>
      <xdr:row>0</xdr:row>
      <xdr:rowOff>118493</xdr:rowOff>
    </xdr:from>
    <xdr:to>
      <xdr:col>7</xdr:col>
      <xdr:colOff>140723</xdr:colOff>
      <xdr:row>2</xdr:row>
      <xdr:rowOff>152956</xdr:rowOff>
    </xdr:to>
    <mc:AlternateContent xmlns:mc="http://schemas.openxmlformats.org/markup-compatibility/2006" xmlns:a14="http://schemas.microsoft.com/office/drawing/2010/main">
      <mc:Choice Requires="a14">
        <xdr:graphicFrame macro="">
          <xdr:nvGraphicFramePr>
            <xdr:cNvPr id="51" name="Column1 (Year)">
              <a:extLst>
                <a:ext uri="{FF2B5EF4-FFF2-40B4-BE49-F238E27FC236}">
                  <a16:creationId xmlns:a16="http://schemas.microsoft.com/office/drawing/2014/main" id="{5A29A385-F67C-47AC-B92D-7314447A68F3}"/>
                </a:ext>
              </a:extLst>
            </xdr:cNvPr>
            <xdr:cNvGraphicFramePr/>
          </xdr:nvGraphicFramePr>
          <xdr:xfrm>
            <a:off x="0" y="0"/>
            <a:ext cx="0" cy="0"/>
          </xdr:xfrm>
          <a:graphic>
            <a:graphicData uri="http://schemas.microsoft.com/office/drawing/2010/slicer">
              <sle:slicer xmlns:sle="http://schemas.microsoft.com/office/drawing/2010/slicer" name="Column1 (Year)"/>
            </a:graphicData>
          </a:graphic>
        </xdr:graphicFrame>
      </mc:Choice>
      <mc:Fallback xmlns="">
        <xdr:sp macro="" textlink="">
          <xdr:nvSpPr>
            <xdr:cNvPr id="0" name=""/>
            <xdr:cNvSpPr>
              <a:spLocks noTextEdit="1"/>
            </xdr:cNvSpPr>
          </xdr:nvSpPr>
          <xdr:spPr>
            <a:xfrm>
              <a:off x="3422369" y="118493"/>
              <a:ext cx="993698" cy="412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12</xdr:col>
      <xdr:colOff>1</xdr:colOff>
      <xdr:row>19</xdr:row>
      <xdr:rowOff>182095</xdr:rowOff>
    </xdr:to>
    <xdr:graphicFrame macro="">
      <xdr:nvGraphicFramePr>
        <xdr:cNvPr id="2" name="Chart 1">
          <a:extLst>
            <a:ext uri="{FF2B5EF4-FFF2-40B4-BE49-F238E27FC236}">
              <a16:creationId xmlns:a16="http://schemas.microsoft.com/office/drawing/2014/main" id="{BB2288EE-3B21-4DB3-858D-03A228B44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28575</xdr:colOff>
      <xdr:row>0</xdr:row>
      <xdr:rowOff>0</xdr:rowOff>
    </xdr:from>
    <xdr:to>
      <xdr:col>0</xdr:col>
      <xdr:colOff>430742</xdr:colOff>
      <xdr:row>2</xdr:row>
      <xdr:rowOff>21011</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AD519270-D3F3-8013-E4EC-03EBF583867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575" y="0"/>
          <a:ext cx="402167" cy="399210"/>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0.1373</cdr:x>
      <cdr:y>0.92146</cdr:y>
    </cdr:from>
    <cdr:to>
      <cdr:x>0.88108</cdr:x>
      <cdr:y>0.97701</cdr:y>
    </cdr:to>
    <cdr:sp macro="" textlink="">
      <cdr:nvSpPr>
        <cdr:cNvPr id="2" name="TextBox 1">
          <a:extLst xmlns:a="http://schemas.openxmlformats.org/drawingml/2006/main">
            <a:ext uri="{FF2B5EF4-FFF2-40B4-BE49-F238E27FC236}">
              <a16:creationId xmlns:a16="http://schemas.microsoft.com/office/drawing/2014/main" id="{3AF2179E-CA1B-B0BB-9BE0-0F7EF0FC0975}"/>
            </a:ext>
          </a:extLst>
        </cdr:cNvPr>
        <cdr:cNvSpPr txBox="1"/>
      </cdr:nvSpPr>
      <cdr:spPr>
        <a:xfrm xmlns:a="http://schemas.openxmlformats.org/drawingml/2006/main">
          <a:off x="1209675" y="4581525"/>
          <a:ext cx="6553200" cy="2762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400" kern="1200">
              <a:solidFill>
                <a:schemeClr val="bg1"/>
              </a:solidFill>
            </a:rPr>
            <a:t>Showing</a:t>
          </a:r>
          <a:r>
            <a:rPr lang="en-IN" sz="1400" kern="1200" baseline="0">
              <a:solidFill>
                <a:schemeClr val="bg1"/>
              </a:solidFill>
            </a:rPr>
            <a:t> a daily trend with an area sparkline to spot patterns like budy days or seasonl trends</a:t>
          </a:r>
          <a:endParaRPr lang="en-IN" sz="1400" kern="1200">
            <a:solidFill>
              <a:schemeClr val="bg1"/>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12</xdr:col>
      <xdr:colOff>77529</xdr:colOff>
      <xdr:row>20</xdr:row>
      <xdr:rowOff>33227</xdr:rowOff>
    </xdr:to>
    <xdr:graphicFrame macro="">
      <xdr:nvGraphicFramePr>
        <xdr:cNvPr id="2" name="Chart 1">
          <a:extLst>
            <a:ext uri="{FF2B5EF4-FFF2-40B4-BE49-F238E27FC236}">
              <a16:creationId xmlns:a16="http://schemas.microsoft.com/office/drawing/2014/main" id="{79D060EC-0DDB-457A-B62C-A77B7D53C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xdr:colOff>
      <xdr:row>0</xdr:row>
      <xdr:rowOff>1</xdr:rowOff>
    </xdr:from>
    <xdr:to>
      <xdr:col>0</xdr:col>
      <xdr:colOff>376570</xdr:colOff>
      <xdr:row>2</xdr:row>
      <xdr:rowOff>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24B7DB36-0763-ACC3-BA96-52D49CF2CFE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 y="1"/>
          <a:ext cx="376569" cy="376569"/>
        </a:xfrm>
        <a:prstGeom prst="rect">
          <a:avLst/>
        </a:prstGeom>
      </xdr:spPr>
    </xdr:pic>
    <xdr:clientData/>
  </xdr:twoCellAnchor>
</xdr:wsDr>
</file>

<file path=xl/drawings/drawing6.xml><?xml version="1.0" encoding="utf-8"?>
<c:userShapes xmlns:c="http://schemas.openxmlformats.org/drawingml/2006/chart">
  <cdr:relSizeAnchor xmlns:cdr="http://schemas.openxmlformats.org/drawingml/2006/chartDrawing">
    <cdr:from>
      <cdr:x>0.06247</cdr:x>
      <cdr:y>0.92434</cdr:y>
    </cdr:from>
    <cdr:to>
      <cdr:x>0.93711</cdr:x>
      <cdr:y>1</cdr:y>
    </cdr:to>
    <cdr:sp macro="" textlink="">
      <cdr:nvSpPr>
        <cdr:cNvPr id="2" name="TextBox 1">
          <a:extLst xmlns:a="http://schemas.openxmlformats.org/drawingml/2006/main">
            <a:ext uri="{FF2B5EF4-FFF2-40B4-BE49-F238E27FC236}">
              <a16:creationId xmlns:a16="http://schemas.microsoft.com/office/drawing/2014/main" id="{179CECB4-E4D9-7374-2C9E-4FA8AB94978A}"/>
            </a:ext>
          </a:extLst>
        </cdr:cNvPr>
        <cdr:cNvSpPr txBox="1"/>
      </cdr:nvSpPr>
      <cdr:spPr>
        <a:xfrm xmlns:a="http://schemas.openxmlformats.org/drawingml/2006/main">
          <a:off x="531626" y="4194544"/>
          <a:ext cx="7442791" cy="3433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kern="1200">
              <a:solidFill>
                <a:schemeClr val="bg1"/>
              </a:solidFill>
            </a:rPr>
            <a:t>Use</a:t>
          </a:r>
          <a:r>
            <a:rPr lang="en-IN" sz="1200" kern="1200" baseline="0">
              <a:solidFill>
                <a:schemeClr val="bg1"/>
              </a:solidFill>
            </a:rPr>
            <a:t> an area sparkline to track daily changes and highlight days with longer wait times that might need improvements</a:t>
          </a:r>
          <a:endParaRPr lang="en-IN" sz="1200" kern="1200">
            <a:solidFill>
              <a:schemeClr val="bg1"/>
            </a:solidFill>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11</xdr:col>
      <xdr:colOff>598082</xdr:colOff>
      <xdr:row>19</xdr:row>
      <xdr:rowOff>166134</xdr:rowOff>
    </xdr:to>
    <xdr:graphicFrame macro="">
      <xdr:nvGraphicFramePr>
        <xdr:cNvPr id="4" name="Chart 3">
          <a:extLst>
            <a:ext uri="{FF2B5EF4-FFF2-40B4-BE49-F238E27FC236}">
              <a16:creationId xmlns:a16="http://schemas.microsoft.com/office/drawing/2014/main" id="{17D7ED16-CFBE-4159-8381-3446B7324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33226</xdr:rowOff>
    </xdr:from>
    <xdr:to>
      <xdr:col>0</xdr:col>
      <xdr:colOff>498401</xdr:colOff>
      <xdr:row>2</xdr:row>
      <xdr:rowOff>155057</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F0A2A788-2687-42F0-924B-9A3FF41DAC2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33226"/>
          <a:ext cx="498401" cy="498401"/>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0.0801</cdr:x>
      <cdr:y>0.89116</cdr:y>
    </cdr:from>
    <cdr:to>
      <cdr:x>0.90898</cdr:x>
      <cdr:y>0.95238</cdr:y>
    </cdr:to>
    <cdr:sp macro="" textlink="">
      <cdr:nvSpPr>
        <cdr:cNvPr id="4" name="TextBox 3">
          <a:extLst xmlns:a="http://schemas.openxmlformats.org/drawingml/2006/main">
            <a:ext uri="{FF2B5EF4-FFF2-40B4-BE49-F238E27FC236}">
              <a16:creationId xmlns:a16="http://schemas.microsoft.com/office/drawing/2014/main" id="{1DED169C-A303-9609-8F30-9AC00167532B}"/>
            </a:ext>
          </a:extLst>
        </cdr:cNvPr>
        <cdr:cNvSpPr txBox="1"/>
      </cdr:nvSpPr>
      <cdr:spPr>
        <a:xfrm xmlns:a="http://schemas.openxmlformats.org/drawingml/2006/main">
          <a:off x="730988" y="4352704"/>
          <a:ext cx="7564622" cy="29904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400" kern="1200">
              <a:solidFill>
                <a:schemeClr val="bg1"/>
              </a:solidFill>
            </a:rPr>
            <a:t>Use an area chart to show</a:t>
          </a:r>
          <a:r>
            <a:rPr lang="en-IN" sz="1400" kern="1200" baseline="0">
              <a:solidFill>
                <a:schemeClr val="bg1"/>
              </a:solidFill>
            </a:rPr>
            <a:t> trends, spot drops in satification, and link them to busy times or challenges</a:t>
          </a:r>
          <a:endParaRPr lang="en-IN" sz="1400" kern="1200">
            <a:solidFill>
              <a:schemeClr val="bg1"/>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refreshedDate="46068.590975810184" createdVersion="5" refreshedVersion="8" minRefreshableVersion="3" recordCount="0" supportSubquery="1" supportAdvancedDrill="1" xr:uid="{4D8C7464-C38A-44EA-929C-546D52CBE05E}">
  <cacheSource type="external" connectionId="3"/>
  <cacheFields count="4">
    <cacheField name="[Query1].[Column1 (Month)].[Column1 (Month)]" caption="Column1 (Month)" numFmtId="0" hierarchy="14" level="1">
      <sharedItems count="1">
        <s v="Jan"/>
      </sharedItems>
    </cacheField>
    <cacheField name="[Query1].[Column1].[Column1]" caption="Column1" numFmtId="0" hierarchy="13"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Query1].[Column1 (Quarter)].[Column1 (Quarter)]" caption="Column1 (Quarter)" numFmtId="0" hierarchy="17" level="1">
      <sharedItems count="1">
        <s v="Qtr1"/>
      </sharedItems>
    </cacheField>
    <cacheField name="[Query1].[Column1 (Year)].[Column1 (Year)]" caption="Column1 (Year)" numFmtId="0" hierarchy="16" level="1">
      <sharedItems count="1">
        <s v="2024"/>
      </sharedItems>
    </cacheField>
  </cacheFields>
  <cacheHierarchies count="3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Query1].[Column1]" caption="Column1" attribute="1" time="1" defaultMemberUniqueName="[Query1].[Column1].[All]" allUniqueName="[Query1].[Column1].[All]" dimensionUniqueName="[Query1]" displayFolder="" count="2" memberValueDatatype="7" unbalanced="0">
      <fieldsUsage count="2">
        <fieldUsage x="-1"/>
        <fieldUsage x="1"/>
      </fieldsUsage>
    </cacheHierarchy>
    <cacheHierarchy uniqueName="[Query1].[Column1 (Month)]" caption="Column1 (Month)" attribute="1" defaultMemberUniqueName="[Query1].[Column1 (Month)].[All]" allUniqueName="[Query1].[Column1 (Month)].[All]" dimensionUniqueName="[Query1]" displayFolder="" count="2" memberValueDatatype="130" unbalanced="0">
      <fieldsUsage count="2">
        <fieldUsage x="-1"/>
        <fieldUsage x="0"/>
      </fieldsUsage>
    </cacheHierarchy>
    <cacheHierarchy uniqueName="[Query1].[Column1 (Day)]" caption="Column1 (Day)" attribute="1" defaultMemberUniqueName="[Query1].[Column1 (Day)].[All]" allUniqueName="[Query1].[Column1 (Day)].[All]" dimensionUniqueName="[Query1]" displayFolder="" count="2" memberValueDatatype="130" unbalanced="0"/>
    <cacheHierarchy uniqueName="[Query1].[Column1 (Year)]" caption="Column1 (Year)" attribute="1" defaultMemberUniqueName="[Query1].[Column1 (Year)].[All]" allUniqueName="[Query1].[Column1 (Year)].[All]" dimensionUniqueName="[Query1]" displayFolder="" count="2" memberValueDatatype="130" unbalanced="0">
      <fieldsUsage count="2">
        <fieldUsage x="-1"/>
        <fieldUsage x="3"/>
      </fieldsUsage>
    </cacheHierarchy>
    <cacheHierarchy uniqueName="[Query1].[Column1 (Quarter)]" caption="Column1 (Quarter)" attribute="1" defaultMemberUniqueName="[Query1].[Column1 (Quarter)].[All]" allUniqueName="[Query1].[Column1 (Quarter)].[All]" dimensionUniqueName="[Query1]" displayFolder="" count="2" memberValueDatatype="130" unbalanced="0">
      <fieldsUsage count="2">
        <fieldUsage x="-1"/>
        <fieldUsage x="2"/>
      </fieldsUsage>
    </cacheHierarchy>
    <cacheHierarchy uniqueName="[Query1].[Column1 (Day Index)]" caption="Column1 (Day Index)" attribute="1" defaultMemberUniqueName="[Query1].[Column1 (Day Index)].[All]" allUniqueName="[Query1].[Column1 (Day Index)].[All]" dimensionUniqueName="[Query1]" displayFolder="" count="2" memberValueDatatype="5" unbalanced="0" hidden="1"/>
    <cacheHierarchy uniqueName="[Query1].[Column1 (Month Index)]" caption="Column1 (Month Index)" attribute="1" defaultMemberUniqueName="[Query1].[Column1 (Month Index)].[All]" allUniqueName="[Query1].[Column1 (Month Index)].[All]" dimensionUniqueName="[Query1]"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olumn1]" caption="Count of Column1" measure="1" displayFolder="" measureGroup="Query1" count="0" hidden="1">
      <extLst>
        <ext xmlns:x15="http://schemas.microsoft.com/office/spreadsheetml/2010/11/main" uri="{B97F6D7D-B522-45F9-BDA1-12C45D357490}">
          <x15:cacheHierarchy aggregatedColumn="13"/>
        </ext>
      </extLst>
    </cacheHierarchy>
    <cacheHierarchy uniqueName="[Measures].[Count of Column1 (Day)]" caption="Count of Column1 (Day)" measure="1" displayFolder="" measureGroup="Query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refreshedDate="46068.590975925923" createdVersion="5" refreshedVersion="8" minRefreshableVersion="3" recordCount="0" supportSubquery="1" supportAdvancedDrill="1" xr:uid="{8E6E8F9E-1E0C-4083-BB19-8511729AB65B}">
  <cacheSource type="external" connectionId="3"/>
  <cacheFields count="3">
    <cacheField name="[Measures].[Distinct Count of Patient Id]" caption="Distinct Count of Patient Id" numFmtId="0" hierarchy="24" level="32767"/>
    <cacheField name="[Query1].[Column1 (Month)].[Column1 (Month)]" caption="Column1 (Month)" numFmtId="0" hierarchy="14" level="1">
      <sharedItems containsSemiMixedTypes="0" containsNonDate="0" containsString="0"/>
    </cacheField>
    <cacheField name="[Query1].[Column1 (Year)].[Column1 (Year)]" caption="Column1 (Year)" numFmtId="0" hierarchy="16" level="1">
      <sharedItems containsSemiMixedTypes="0" containsNonDate="0" containsString="0"/>
    </cacheField>
  </cacheFields>
  <cacheHierarchies count="3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Column1]" caption="Column1" attribute="1" time="1" defaultMemberUniqueName="[Query1].[Column1].[All]" allUniqueName="[Query1].[Column1].[All]" dimensionUniqueName="[Query1]" displayFolder="" count="0" memberValueDatatype="7" unbalanced="0"/>
    <cacheHierarchy uniqueName="[Query1].[Column1 (Month)]" caption="Column1 (Month)" attribute="1" defaultMemberUniqueName="[Query1].[Column1 (Month)].[All]" allUniqueName="[Query1].[Column1 (Month)].[All]" dimensionUniqueName="[Query1]" displayFolder="" count="2" memberValueDatatype="130" unbalanced="0">
      <fieldsUsage count="2">
        <fieldUsage x="-1"/>
        <fieldUsage x="1"/>
      </fieldsUsage>
    </cacheHierarchy>
    <cacheHierarchy uniqueName="[Query1].[Column1 (Day)]" caption="Column1 (Day)" attribute="1" defaultMemberUniqueName="[Query1].[Column1 (Day)].[All]" allUniqueName="[Query1].[Column1 (Day)].[All]" dimensionUniqueName="[Query1]" displayFolder="" count="0" memberValueDatatype="130" unbalanced="0"/>
    <cacheHierarchy uniqueName="[Query1].[Column1 (Year)]" caption="Column1 (Year)" attribute="1" defaultMemberUniqueName="[Query1].[Column1 (Year)].[All]" allUniqueName="[Query1].[Column1 (Year)].[All]" dimensionUniqueName="[Query1]" displayFolder="" count="2" memberValueDatatype="130" unbalanced="0">
      <fieldsUsage count="2">
        <fieldUsage x="-1"/>
        <fieldUsage x="2"/>
      </fieldsUsage>
    </cacheHierarchy>
    <cacheHierarchy uniqueName="[Query1].[Column1 (Quarter)]" caption="Column1 (Quarter)" attribute="1" defaultMemberUniqueName="[Query1].[Column1 (Quarter)].[All]" allUniqueName="[Query1].[Column1 (Quarter)].[All]" dimensionUniqueName="[Query1]" displayFolder="" count="0" memberValueDatatype="130" unbalanced="0"/>
    <cacheHierarchy uniqueName="[Query1].[Column1 (Day Index)]" caption="Column1 (Day Index)" attribute="1" defaultMemberUniqueName="[Query1].[Column1 (Day Index)].[All]" allUniqueName="[Query1].[Column1 (Day Index)].[All]" dimensionUniqueName="[Query1]" displayFolder="" count="0" memberValueDatatype="5" unbalanced="0" hidden="1"/>
    <cacheHierarchy uniqueName="[Query1].[Column1 (Month Index)]" caption="Column1 (Month Index)" attribute="1" defaultMemberUniqueName="[Query1].[Column1 (Month Index)].[All]" allUniqueName="[Query1].[Column1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olumn1]" caption="Count of Column1" measure="1" displayFolder="" measureGroup="Query1" count="0" hidden="1">
      <extLst>
        <ext xmlns:x15="http://schemas.microsoft.com/office/spreadsheetml/2010/11/main" uri="{B97F6D7D-B522-45F9-BDA1-12C45D357490}">
          <x15:cacheHierarchy aggregatedColumn="13"/>
        </ext>
      </extLst>
    </cacheHierarchy>
    <cacheHierarchy uniqueName="[Measures].[Count of Column1 (Day)]" caption="Count of Column1 (Day)" measure="1" displayFolder="" measureGroup="Query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refreshedDate="46068.590976388892" createdVersion="5" refreshedVersion="8" minRefreshableVersion="3" recordCount="0" supportSubquery="1" supportAdvancedDrill="1" xr:uid="{5F86C66C-795D-4398-9AF2-E73D58312BBD}">
  <cacheSource type="external" connectionId="3"/>
  <cacheFields count="4">
    <cacheField name="[Query1].[Column1 (Month)].[Column1 (Month)]" caption="Column1 (Month)" numFmtId="0" hierarchy="14" level="1">
      <sharedItems containsSemiMixedTypes="0" containsNonDate="0" containsString="0"/>
    </cacheField>
    <cacheField name="[Hospital Emergency Room Data].[Patient Gender].[Patient Gender]" caption="Patient Gender" numFmtId="0" hierarchy="4" level="1">
      <sharedItems count="2">
        <s v="Female"/>
        <s v="Male"/>
      </sharedItems>
    </cacheField>
    <cacheField name="[Measures].[Count of Patient Gender]" caption="Count of Patient Gender" numFmtId="0" hierarchy="34" level="32767"/>
    <cacheField name="[Query1].[Column1 (Year)].[Column1 (Year)]" caption="Column1 (Year)" numFmtId="0" hierarchy="16" level="1">
      <sharedItems containsSemiMixedTypes="0" containsNonDate="0" containsString="0"/>
    </cacheField>
  </cacheFields>
  <cacheHierarchies count="3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Column1]" caption="Column1" attribute="1" time="1" defaultMemberUniqueName="[Query1].[Column1].[All]" allUniqueName="[Query1].[Column1].[All]" dimensionUniqueName="[Query1]" displayFolder="" count="0" memberValueDatatype="7" unbalanced="0"/>
    <cacheHierarchy uniqueName="[Query1].[Column1 (Month)]" caption="Column1 (Month)" attribute="1" defaultMemberUniqueName="[Query1].[Column1 (Month)].[All]" allUniqueName="[Query1].[Column1 (Month)].[All]" dimensionUniqueName="[Query1]" displayFolder="" count="2" memberValueDatatype="130" unbalanced="0">
      <fieldsUsage count="2">
        <fieldUsage x="-1"/>
        <fieldUsage x="0"/>
      </fieldsUsage>
    </cacheHierarchy>
    <cacheHierarchy uniqueName="[Query1].[Column1 (Day)]" caption="Column1 (Day)" attribute="1" defaultMemberUniqueName="[Query1].[Column1 (Day)].[All]" allUniqueName="[Query1].[Column1 (Day)].[All]" dimensionUniqueName="[Query1]" displayFolder="" count="0" memberValueDatatype="130" unbalanced="0"/>
    <cacheHierarchy uniqueName="[Query1].[Column1 (Year)]" caption="Column1 (Year)" attribute="1" defaultMemberUniqueName="[Query1].[Column1 (Year)].[All]" allUniqueName="[Query1].[Column1 (Year)].[All]" dimensionUniqueName="[Query1]" displayFolder="" count="2" memberValueDatatype="130" unbalanced="0">
      <fieldsUsage count="2">
        <fieldUsage x="-1"/>
        <fieldUsage x="3"/>
      </fieldsUsage>
    </cacheHierarchy>
    <cacheHierarchy uniqueName="[Query1].[Column1 (Quarter)]" caption="Column1 (Quarter)" attribute="1" defaultMemberUniqueName="[Query1].[Column1 (Quarter)].[All]" allUniqueName="[Query1].[Column1 (Quarter)].[All]" dimensionUniqueName="[Query1]" displayFolder="" count="0" memberValueDatatype="130" unbalanced="0"/>
    <cacheHierarchy uniqueName="[Query1].[Column1 (Day Index)]" caption="Column1 (Day Index)" attribute="1" defaultMemberUniqueName="[Query1].[Column1 (Day Index)].[All]" allUniqueName="[Query1].[Column1 (Day Index)].[All]" dimensionUniqueName="[Query1]" displayFolder="" count="0" memberValueDatatype="5" unbalanced="0" hidden="1"/>
    <cacheHierarchy uniqueName="[Query1].[Column1 (Month Index)]" caption="Column1 (Month Index)" attribute="1" defaultMemberUniqueName="[Query1].[Column1 (Month Index)].[All]" allUniqueName="[Query1].[Column1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olumn1]" caption="Count of Column1" measure="1" displayFolder="" measureGroup="Query1" count="0" hidden="1">
      <extLst>
        <ext xmlns:x15="http://schemas.microsoft.com/office/spreadsheetml/2010/11/main" uri="{B97F6D7D-B522-45F9-BDA1-12C45D357490}">
          <x15:cacheHierarchy aggregatedColumn="13"/>
        </ext>
      </extLst>
    </cacheHierarchy>
    <cacheHierarchy uniqueName="[Measures].[Count of Column1 (Day)]" caption="Count of Column1 (Day)" measure="1" displayFolder="" measureGroup="Query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refreshedDate="46068.590976851854" createdVersion="5" refreshedVersion="8" minRefreshableVersion="3" recordCount="0" supportSubquery="1" supportAdvancedDrill="1" xr:uid="{643813AA-F239-4494-B56D-6670501F0A9C}">
  <cacheSource type="external" connectionId="3"/>
  <cacheFields count="4">
    <cacheField name="[Query1].[Column1 (Month)].[Column1 (Month)]" caption="Column1 (Month)" numFmtId="0" hierarchy="14" level="1">
      <sharedItems containsSemiMixedTypes="0" containsNonDate="0" containsString="0"/>
    </cacheField>
    <cacheField name="[Hospital Emergency Room Data].[Department Referral].[Department Referral]" caption="Department Referral" numFmtId="0" hierarchy="7"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Query1].[Column1 (Year)].[Column1 (Year)]" caption="Column1 (Year)" numFmtId="0" hierarchy="16" level="1">
      <sharedItems containsSemiMixedTypes="0" containsNonDate="0" containsString="0"/>
    </cacheField>
  </cacheFields>
  <cacheHierarchies count="3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Column1]" caption="Column1" attribute="1" time="1" defaultMemberUniqueName="[Query1].[Column1].[All]" allUniqueName="[Query1].[Column1].[All]" dimensionUniqueName="[Query1]" displayFolder="" count="0" memberValueDatatype="7" unbalanced="0"/>
    <cacheHierarchy uniqueName="[Query1].[Column1 (Month)]" caption="Column1 (Month)" attribute="1" defaultMemberUniqueName="[Query1].[Column1 (Month)].[All]" allUniqueName="[Query1].[Column1 (Month)].[All]" dimensionUniqueName="[Query1]" displayFolder="" count="2" memberValueDatatype="130" unbalanced="0">
      <fieldsUsage count="2">
        <fieldUsage x="-1"/>
        <fieldUsage x="0"/>
      </fieldsUsage>
    </cacheHierarchy>
    <cacheHierarchy uniqueName="[Query1].[Column1 (Day)]" caption="Column1 (Day)" attribute="1" defaultMemberUniqueName="[Query1].[Column1 (Day)].[All]" allUniqueName="[Query1].[Column1 (Day)].[All]" dimensionUniqueName="[Query1]" displayFolder="" count="0" memberValueDatatype="130" unbalanced="0"/>
    <cacheHierarchy uniqueName="[Query1].[Column1 (Year)]" caption="Column1 (Year)" attribute="1" defaultMemberUniqueName="[Query1].[Column1 (Year)].[All]" allUniqueName="[Query1].[Column1 (Year)].[All]" dimensionUniqueName="[Query1]" displayFolder="" count="2" memberValueDatatype="130" unbalanced="0">
      <fieldsUsage count="2">
        <fieldUsage x="-1"/>
        <fieldUsage x="3"/>
      </fieldsUsage>
    </cacheHierarchy>
    <cacheHierarchy uniqueName="[Query1].[Column1 (Quarter)]" caption="Column1 (Quarter)" attribute="1" defaultMemberUniqueName="[Query1].[Column1 (Quarter)].[All]" allUniqueName="[Query1].[Column1 (Quarter)].[All]" dimensionUniqueName="[Query1]" displayFolder="" count="0" memberValueDatatype="130" unbalanced="0"/>
    <cacheHierarchy uniqueName="[Query1].[Column1 (Day Index)]" caption="Column1 (Day Index)" attribute="1" defaultMemberUniqueName="[Query1].[Column1 (Day Index)].[All]" allUniqueName="[Query1].[Column1 (Day Index)].[All]" dimensionUniqueName="[Query1]" displayFolder="" count="0" memberValueDatatype="5" unbalanced="0" hidden="1"/>
    <cacheHierarchy uniqueName="[Query1].[Column1 (Month Index)]" caption="Column1 (Month Index)" attribute="1" defaultMemberUniqueName="[Query1].[Column1 (Month Index)].[All]" allUniqueName="[Query1].[Column1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olumn1]" caption="Count of Column1" measure="1" displayFolder="" measureGroup="Query1" count="0" hidden="1">
      <extLst>
        <ext xmlns:x15="http://schemas.microsoft.com/office/spreadsheetml/2010/11/main" uri="{B97F6D7D-B522-45F9-BDA1-12C45D357490}">
          <x15:cacheHierarchy aggregatedColumn="13"/>
        </ext>
      </extLst>
    </cacheHierarchy>
    <cacheHierarchy uniqueName="[Measures].[Count of Column1 (Day)]" caption="Count of Column1 (Day)" measure="1" displayFolder="" measureGroup="Query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refreshedDate="46068.590977083331" createdVersion="5" refreshedVersion="8" minRefreshableVersion="3" recordCount="0" supportSubquery="1" supportAdvancedDrill="1" xr:uid="{2BDC1EE6-B994-450B-8EC7-A391A83034BC}">
  <cacheSource type="external" connectionId="3"/>
  <cacheFields count="3">
    <cacheField name="[Measures].[Average of Patient Waittime]" caption="Average of Patient Waittime" numFmtId="0" hierarchy="26" level="32767"/>
    <cacheField name="[Query1].[Column1 (Month)].[Column1 (Month)]" caption="Column1 (Month)" numFmtId="0" hierarchy="14" level="1">
      <sharedItems containsSemiMixedTypes="0" containsNonDate="0" containsString="0"/>
    </cacheField>
    <cacheField name="[Query1].[Column1 (Year)].[Column1 (Year)]" caption="Column1 (Year)" numFmtId="0" hierarchy="16" level="1">
      <sharedItems containsSemiMixedTypes="0" containsNonDate="0" containsString="0"/>
    </cacheField>
  </cacheFields>
  <cacheHierarchies count="3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Column1]" caption="Column1" attribute="1" time="1" defaultMemberUniqueName="[Query1].[Column1].[All]" allUniqueName="[Query1].[Column1].[All]" dimensionUniqueName="[Query1]" displayFolder="" count="0" memberValueDatatype="7" unbalanced="0"/>
    <cacheHierarchy uniqueName="[Query1].[Column1 (Month)]" caption="Column1 (Month)" attribute="1" defaultMemberUniqueName="[Query1].[Column1 (Month)].[All]" allUniqueName="[Query1].[Column1 (Month)].[All]" dimensionUniqueName="[Query1]" displayFolder="" count="2" memberValueDatatype="130" unbalanced="0">
      <fieldsUsage count="2">
        <fieldUsage x="-1"/>
        <fieldUsage x="1"/>
      </fieldsUsage>
    </cacheHierarchy>
    <cacheHierarchy uniqueName="[Query1].[Column1 (Day)]" caption="Column1 (Day)" attribute="1" defaultMemberUniqueName="[Query1].[Column1 (Day)].[All]" allUniqueName="[Query1].[Column1 (Day)].[All]" dimensionUniqueName="[Query1]" displayFolder="" count="0" memberValueDatatype="130" unbalanced="0"/>
    <cacheHierarchy uniqueName="[Query1].[Column1 (Year)]" caption="Column1 (Year)" attribute="1" defaultMemberUniqueName="[Query1].[Column1 (Year)].[All]" allUniqueName="[Query1].[Column1 (Year)].[All]" dimensionUniqueName="[Query1]" displayFolder="" count="2" memberValueDatatype="130" unbalanced="0">
      <fieldsUsage count="2">
        <fieldUsage x="-1"/>
        <fieldUsage x="2"/>
      </fieldsUsage>
    </cacheHierarchy>
    <cacheHierarchy uniqueName="[Query1].[Column1 (Quarter)]" caption="Column1 (Quarter)" attribute="1" defaultMemberUniqueName="[Query1].[Column1 (Quarter)].[All]" allUniqueName="[Query1].[Column1 (Quarter)].[All]" dimensionUniqueName="[Query1]" displayFolder="" count="0" memberValueDatatype="130" unbalanced="0"/>
    <cacheHierarchy uniqueName="[Query1].[Column1 (Day Index)]" caption="Column1 (Day Index)" attribute="1" defaultMemberUniqueName="[Query1].[Column1 (Day Index)].[All]" allUniqueName="[Query1].[Column1 (Day Index)].[All]" dimensionUniqueName="[Query1]" displayFolder="" count="0" memberValueDatatype="5" unbalanced="0" hidden="1"/>
    <cacheHierarchy uniqueName="[Query1].[Column1 (Month Index)]" caption="Column1 (Month Index)" attribute="1" defaultMemberUniqueName="[Query1].[Column1 (Month Index)].[All]" allUniqueName="[Query1].[Column1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olumn1]" caption="Count of Column1" measure="1" displayFolder="" measureGroup="Query1" count="0" hidden="1">
      <extLst>
        <ext xmlns:x15="http://schemas.microsoft.com/office/spreadsheetml/2010/11/main" uri="{B97F6D7D-B522-45F9-BDA1-12C45D357490}">
          <x15:cacheHierarchy aggregatedColumn="13"/>
        </ext>
      </extLst>
    </cacheHierarchy>
    <cacheHierarchy uniqueName="[Measures].[Count of Column1 (Day)]" caption="Count of Column1 (Day)" measure="1" displayFolder="" measureGroup="Query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refreshedDate="46068.590977314816" createdVersion="5" refreshedVersion="8" minRefreshableVersion="3" recordCount="0" supportSubquery="1" supportAdvancedDrill="1" xr:uid="{E2813684-3924-46AB-B61B-8F7E8F0F8A37}">
  <cacheSource type="external" connectionId="3"/>
  <cacheFields count="3">
    <cacheField name="[Measures].[Average of Patient Satisfaction Score]" caption="Average of Patient Satisfaction Score" numFmtId="0" hierarchy="28" level="32767"/>
    <cacheField name="[Query1].[Column1 (Month)].[Column1 (Month)]" caption="Column1 (Month)" numFmtId="0" hierarchy="14" level="1">
      <sharedItems containsSemiMixedTypes="0" containsNonDate="0" containsString="0"/>
    </cacheField>
    <cacheField name="[Query1].[Column1 (Year)].[Column1 (Year)]" caption="Column1 (Year)" numFmtId="0" hierarchy="16" level="1">
      <sharedItems containsSemiMixedTypes="0" containsNonDate="0" containsString="0"/>
    </cacheField>
  </cacheFields>
  <cacheHierarchies count="3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Column1]" caption="Column1" attribute="1" time="1" defaultMemberUniqueName="[Query1].[Column1].[All]" allUniqueName="[Query1].[Column1].[All]" dimensionUniqueName="[Query1]" displayFolder="" count="0" memberValueDatatype="7" unbalanced="0"/>
    <cacheHierarchy uniqueName="[Query1].[Column1 (Month)]" caption="Column1 (Month)" attribute="1" defaultMemberUniqueName="[Query1].[Column1 (Month)].[All]" allUniqueName="[Query1].[Column1 (Month)].[All]" dimensionUniqueName="[Query1]" displayFolder="" count="2" memberValueDatatype="130" unbalanced="0">
      <fieldsUsage count="2">
        <fieldUsage x="-1"/>
        <fieldUsage x="1"/>
      </fieldsUsage>
    </cacheHierarchy>
    <cacheHierarchy uniqueName="[Query1].[Column1 (Day)]" caption="Column1 (Day)" attribute="1" defaultMemberUniqueName="[Query1].[Column1 (Day)].[All]" allUniqueName="[Query1].[Column1 (Day)].[All]" dimensionUniqueName="[Query1]" displayFolder="" count="0" memberValueDatatype="130" unbalanced="0"/>
    <cacheHierarchy uniqueName="[Query1].[Column1 (Year)]" caption="Column1 (Year)" attribute="1" defaultMemberUniqueName="[Query1].[Column1 (Year)].[All]" allUniqueName="[Query1].[Column1 (Year)].[All]" dimensionUniqueName="[Query1]" displayFolder="" count="2" memberValueDatatype="130" unbalanced="0">
      <fieldsUsage count="2">
        <fieldUsage x="-1"/>
        <fieldUsage x="2"/>
      </fieldsUsage>
    </cacheHierarchy>
    <cacheHierarchy uniqueName="[Query1].[Column1 (Quarter)]" caption="Column1 (Quarter)" attribute="1" defaultMemberUniqueName="[Query1].[Column1 (Quarter)].[All]" allUniqueName="[Query1].[Column1 (Quarter)].[All]" dimensionUniqueName="[Query1]" displayFolder="" count="0" memberValueDatatype="130" unbalanced="0"/>
    <cacheHierarchy uniqueName="[Query1].[Column1 (Day Index)]" caption="Column1 (Day Index)" attribute="1" defaultMemberUniqueName="[Query1].[Column1 (Day Index)].[All]" allUniqueName="[Query1].[Column1 (Day Index)].[All]" dimensionUniqueName="[Query1]" displayFolder="" count="0" memberValueDatatype="5" unbalanced="0" hidden="1"/>
    <cacheHierarchy uniqueName="[Query1].[Column1 (Month Index)]" caption="Column1 (Month Index)" attribute="1" defaultMemberUniqueName="[Query1].[Column1 (Month Index)].[All]" allUniqueName="[Query1].[Column1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Column1]" caption="Count of Column1" measure="1" displayFolder="" measureGroup="Query1" count="0" hidden="1">
      <extLst>
        <ext xmlns:x15="http://schemas.microsoft.com/office/spreadsheetml/2010/11/main" uri="{B97F6D7D-B522-45F9-BDA1-12C45D357490}">
          <x15:cacheHierarchy aggregatedColumn="13"/>
        </ext>
      </extLst>
    </cacheHierarchy>
    <cacheHierarchy uniqueName="[Measures].[Count of Column1 (Day)]" caption="Count of Column1 (Day)" measure="1" displayFolder="" measureGroup="Query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refreshedDate="46068.590977777778" createdVersion="5" refreshedVersion="8" minRefreshableVersion="3" recordCount="0" supportSubquery="1" supportAdvancedDrill="1" xr:uid="{7806B182-AD0E-4A75-B2FD-61370EBA5BAE}">
  <cacheSource type="external" connectionId="3"/>
  <cacheFields count="4">
    <cacheField name="[Query1].[Column1 (Day)].[Column1 (Day)]" caption="Column1 (Day)" numFmtId="0" hierarchy="15"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Measures].[Distinct Count of Patient Id]" caption="Distinct Count of Patient Id" numFmtId="0" hierarchy="24" level="32767"/>
    <cacheField name="[Query1].[Column1 (Month)].[Column1 (Month)]" caption="Column1 (Month)" numFmtId="0" hierarchy="14" level="1">
      <sharedItems containsSemiMixedTypes="0" containsNonDate="0" containsString="0"/>
    </cacheField>
    <cacheField name="[Query1].[Column1 (Year)].[Column1 (Year)]" caption="Column1 (Year)" numFmtId="0" hierarchy="16" level="1">
      <sharedItems containsSemiMixedTypes="0" containsNonDate="0" containsString="0"/>
    </cacheField>
  </cacheFields>
  <cacheHierarchies count="3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Column1]" caption="Column1" attribute="1" time="1" defaultMemberUniqueName="[Query1].[Column1].[All]" allUniqueName="[Query1].[Column1].[All]" dimensionUniqueName="[Query1]" displayFolder="" count="0" memberValueDatatype="7" unbalanced="0"/>
    <cacheHierarchy uniqueName="[Query1].[Column1 (Month)]" caption="Column1 (Month)" attribute="1" defaultMemberUniqueName="[Query1].[Column1 (Month)].[All]" allUniqueName="[Query1].[Column1 (Month)].[All]" dimensionUniqueName="[Query1]" displayFolder="" count="2" memberValueDatatype="130" unbalanced="0">
      <fieldsUsage count="2">
        <fieldUsage x="-1"/>
        <fieldUsage x="2"/>
      </fieldsUsage>
    </cacheHierarchy>
    <cacheHierarchy uniqueName="[Query1].[Column1 (Day)]" caption="Column1 (Day)" attribute="1" defaultMemberUniqueName="[Query1].[Column1 (Day)].[All]" allUniqueName="[Query1].[Column1 (Day)].[All]" dimensionUniqueName="[Query1]" displayFolder="" count="2" memberValueDatatype="130" unbalanced="0">
      <fieldsUsage count="2">
        <fieldUsage x="-1"/>
        <fieldUsage x="0"/>
      </fieldsUsage>
    </cacheHierarchy>
    <cacheHierarchy uniqueName="[Query1].[Column1 (Year)]" caption="Column1 (Year)" attribute="1" defaultMemberUniqueName="[Query1].[Column1 (Year)].[All]" allUniqueName="[Query1].[Column1 (Year)].[All]" dimensionUniqueName="[Query1]" displayFolder="" count="2" memberValueDatatype="130" unbalanced="0">
      <fieldsUsage count="2">
        <fieldUsage x="-1"/>
        <fieldUsage x="3"/>
      </fieldsUsage>
    </cacheHierarchy>
    <cacheHierarchy uniqueName="[Query1].[Column1 (Quarter)]" caption="Column1 (Quarter)" attribute="1" defaultMemberUniqueName="[Query1].[Column1 (Quarter)].[All]" allUniqueName="[Query1].[Column1 (Quarter)].[All]" dimensionUniqueName="[Query1]" displayFolder="" count="0" memberValueDatatype="130" unbalanced="0"/>
    <cacheHierarchy uniqueName="[Query1].[Column1 (Day Index)]" caption="Column1 (Day Index)" attribute="1" defaultMemberUniqueName="[Query1].[Column1 (Day Index)].[All]" allUniqueName="[Query1].[Column1 (Day Index)].[All]" dimensionUniqueName="[Query1]" displayFolder="" count="0" memberValueDatatype="5" unbalanced="0" hidden="1"/>
    <cacheHierarchy uniqueName="[Query1].[Column1 (Month Index)]" caption="Column1 (Month Index)" attribute="1" defaultMemberUniqueName="[Query1].[Column1 (Month Index)].[All]" allUniqueName="[Query1].[Column1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olumn1]" caption="Count of Column1" measure="1" displayFolder="" measureGroup="Query1" count="0" hidden="1">
      <extLst>
        <ext xmlns:x15="http://schemas.microsoft.com/office/spreadsheetml/2010/11/main" uri="{B97F6D7D-B522-45F9-BDA1-12C45D357490}">
          <x15:cacheHierarchy aggregatedColumn="13"/>
        </ext>
      </extLst>
    </cacheHierarchy>
    <cacheHierarchy uniqueName="[Measures].[Count of Column1 (Day)]" caption="Count of Column1 (Day)" measure="1" displayFolder="" measureGroup="Query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refreshedDate="46068.59097824074" createdVersion="5" refreshedVersion="8" minRefreshableVersion="3" recordCount="0" supportSubquery="1" supportAdvancedDrill="1" xr:uid="{CA686817-48CB-4F0D-8B4B-227B62B9A329}">
  <cacheSource type="external" connectionId="3"/>
  <cacheFields count="4">
    <cacheField name="[Query1].[Column1 (Month)].[Column1 (Month)]" caption="Column1 (Month)" numFmtId="0" hierarchy="14" level="1">
      <sharedItems containsSemiMixedTypes="0" containsNonDate="0" containsString="0"/>
    </cacheField>
    <cacheField name="[Query1].[Column1 (Day)].[Column1 (Day)]" caption="Column1 (Day)" numFmtId="0" hierarchy="15"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Measures].[Average of Patient Waittime]" caption="Average of Patient Waittime" numFmtId="0" hierarchy="26" level="32767"/>
    <cacheField name="[Query1].[Column1 (Year)].[Column1 (Year)]" caption="Column1 (Year)" numFmtId="0" hierarchy="16" level="1">
      <sharedItems containsSemiMixedTypes="0" containsNonDate="0" containsString="0"/>
    </cacheField>
  </cacheFields>
  <cacheHierarchies count="3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Column1]" caption="Column1" attribute="1" time="1" defaultMemberUniqueName="[Query1].[Column1].[All]" allUniqueName="[Query1].[Column1].[All]" dimensionUniqueName="[Query1]" displayFolder="" count="0" memberValueDatatype="7" unbalanced="0"/>
    <cacheHierarchy uniqueName="[Query1].[Column1 (Month)]" caption="Column1 (Month)" attribute="1" defaultMemberUniqueName="[Query1].[Column1 (Month)].[All]" allUniqueName="[Query1].[Column1 (Month)].[All]" dimensionUniqueName="[Query1]" displayFolder="" count="2" memberValueDatatype="130" unbalanced="0">
      <fieldsUsage count="2">
        <fieldUsage x="-1"/>
        <fieldUsage x="0"/>
      </fieldsUsage>
    </cacheHierarchy>
    <cacheHierarchy uniqueName="[Query1].[Column1 (Day)]" caption="Column1 (Day)" attribute="1" defaultMemberUniqueName="[Query1].[Column1 (Day)].[All]" allUniqueName="[Query1].[Column1 (Day)].[All]" dimensionUniqueName="[Query1]" displayFolder="" count="2" memberValueDatatype="130" unbalanced="0">
      <fieldsUsage count="2">
        <fieldUsage x="-1"/>
        <fieldUsage x="1"/>
      </fieldsUsage>
    </cacheHierarchy>
    <cacheHierarchy uniqueName="[Query1].[Column1 (Year)]" caption="Column1 (Year)" attribute="1" defaultMemberUniqueName="[Query1].[Column1 (Year)].[All]" allUniqueName="[Query1].[Column1 (Year)].[All]" dimensionUniqueName="[Query1]" displayFolder="" count="2" memberValueDatatype="130" unbalanced="0">
      <fieldsUsage count="2">
        <fieldUsage x="-1"/>
        <fieldUsage x="3"/>
      </fieldsUsage>
    </cacheHierarchy>
    <cacheHierarchy uniqueName="[Query1].[Column1 (Quarter)]" caption="Column1 (Quarter)" attribute="1" defaultMemberUniqueName="[Query1].[Column1 (Quarter)].[All]" allUniqueName="[Query1].[Column1 (Quarter)].[All]" dimensionUniqueName="[Query1]" displayFolder="" count="0" memberValueDatatype="130" unbalanced="0"/>
    <cacheHierarchy uniqueName="[Query1].[Column1 (Day Index)]" caption="Column1 (Day Index)" attribute="1" defaultMemberUniqueName="[Query1].[Column1 (Day Index)].[All]" allUniqueName="[Query1].[Column1 (Day Index)].[All]" dimensionUniqueName="[Query1]" displayFolder="" count="0" memberValueDatatype="5" unbalanced="0" hidden="1"/>
    <cacheHierarchy uniqueName="[Query1].[Column1 (Month Index)]" caption="Column1 (Month Index)" attribute="1" defaultMemberUniqueName="[Query1].[Column1 (Month Index)].[All]" allUniqueName="[Query1].[Column1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olumn1]" caption="Count of Column1" measure="1" displayFolder="" measureGroup="Query1" count="0" hidden="1">
      <extLst>
        <ext xmlns:x15="http://schemas.microsoft.com/office/spreadsheetml/2010/11/main" uri="{B97F6D7D-B522-45F9-BDA1-12C45D357490}">
          <x15:cacheHierarchy aggregatedColumn="13"/>
        </ext>
      </extLst>
    </cacheHierarchy>
    <cacheHierarchy uniqueName="[Measures].[Count of Column1 (Day)]" caption="Count of Column1 (Day)" measure="1" displayFolder="" measureGroup="Query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refreshedDate="46068.590978819448" createdVersion="5" refreshedVersion="8" minRefreshableVersion="3" recordCount="0" supportSubquery="1" supportAdvancedDrill="1" xr:uid="{9A9B3342-CF28-4ABB-B52A-0AB31071D7FA}">
  <cacheSource type="external" connectionId="3"/>
  <cacheFields count="4">
    <cacheField name="[Query1].[Column1 (Month)].[Column1 (Month)]" caption="Column1 (Month)" numFmtId="0" hierarchy="14" level="1">
      <sharedItems containsSemiMixedTypes="0" containsNonDate="0" containsString="0"/>
    </cacheField>
    <cacheField name="[Query1].[Column1 (Day)].[Column1 (Day)]" caption="Column1 (Day)" numFmtId="0" hierarchy="15"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Measures].[Average of Patient Satisfaction Score]" caption="Average of Patient Satisfaction Score" numFmtId="0" hierarchy="28" level="32767"/>
    <cacheField name="[Query1].[Column1 (Year)].[Column1 (Year)]" caption="Column1 (Year)" numFmtId="0" hierarchy="16" level="1">
      <sharedItems containsSemiMixedTypes="0" containsNonDate="0" containsString="0"/>
    </cacheField>
  </cacheFields>
  <cacheHierarchies count="3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Column1]" caption="Column1" attribute="1" time="1" defaultMemberUniqueName="[Query1].[Column1].[All]" allUniqueName="[Query1].[Column1].[All]" dimensionUniqueName="[Query1]" displayFolder="" count="0" memberValueDatatype="7" unbalanced="0"/>
    <cacheHierarchy uniqueName="[Query1].[Column1 (Month)]" caption="Column1 (Month)" attribute="1" defaultMemberUniqueName="[Query1].[Column1 (Month)].[All]" allUniqueName="[Query1].[Column1 (Month)].[All]" dimensionUniqueName="[Query1]" displayFolder="" count="2" memberValueDatatype="130" unbalanced="0">
      <fieldsUsage count="2">
        <fieldUsage x="-1"/>
        <fieldUsage x="0"/>
      </fieldsUsage>
    </cacheHierarchy>
    <cacheHierarchy uniqueName="[Query1].[Column1 (Day)]" caption="Column1 (Day)" attribute="1" defaultMemberUniqueName="[Query1].[Column1 (Day)].[All]" allUniqueName="[Query1].[Column1 (Day)].[All]" dimensionUniqueName="[Query1]" displayFolder="" count="2" memberValueDatatype="130" unbalanced="0">
      <fieldsUsage count="2">
        <fieldUsage x="-1"/>
        <fieldUsage x="1"/>
      </fieldsUsage>
    </cacheHierarchy>
    <cacheHierarchy uniqueName="[Query1].[Column1 (Year)]" caption="Column1 (Year)" attribute="1" defaultMemberUniqueName="[Query1].[Column1 (Year)].[All]" allUniqueName="[Query1].[Column1 (Year)].[All]" dimensionUniqueName="[Query1]" displayFolder="" count="2" memberValueDatatype="130" unbalanced="0">
      <fieldsUsage count="2">
        <fieldUsage x="-1"/>
        <fieldUsage x="3"/>
      </fieldsUsage>
    </cacheHierarchy>
    <cacheHierarchy uniqueName="[Query1].[Column1 (Quarter)]" caption="Column1 (Quarter)" attribute="1" defaultMemberUniqueName="[Query1].[Column1 (Quarter)].[All]" allUniqueName="[Query1].[Column1 (Quarter)].[All]" dimensionUniqueName="[Query1]" displayFolder="" count="0" memberValueDatatype="130" unbalanced="0"/>
    <cacheHierarchy uniqueName="[Query1].[Column1 (Day Index)]" caption="Column1 (Day Index)" attribute="1" defaultMemberUniqueName="[Query1].[Column1 (Day Index)].[All]" allUniqueName="[Query1].[Column1 (Day Index)].[All]" dimensionUniqueName="[Query1]" displayFolder="" count="0" memberValueDatatype="5" unbalanced="0" hidden="1"/>
    <cacheHierarchy uniqueName="[Query1].[Column1 (Month Index)]" caption="Column1 (Month Index)" attribute="1" defaultMemberUniqueName="[Query1].[Column1 (Month Index)].[All]" allUniqueName="[Query1].[Column1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Column1]" caption="Count of Column1" measure="1" displayFolder="" measureGroup="Query1" count="0" hidden="1">
      <extLst>
        <ext xmlns:x15="http://schemas.microsoft.com/office/spreadsheetml/2010/11/main" uri="{B97F6D7D-B522-45F9-BDA1-12C45D357490}">
          <x15:cacheHierarchy aggregatedColumn="13"/>
        </ext>
      </extLst>
    </cacheHierarchy>
    <cacheHierarchy uniqueName="[Measures].[Count of Column1 (Day)]" caption="Count of Column1 (Day)" measure="1" displayFolder="" measureGroup="Query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refreshedDate="46068.590979398148" createdVersion="5" refreshedVersion="8" minRefreshableVersion="3" recordCount="0" supportSubquery="1" supportAdvancedDrill="1" xr:uid="{F64D7A4E-80BE-449C-B6EB-F0F4E22EE40D}">
  <cacheSource type="external" connectionId="3"/>
  <cacheFields count="5">
    <cacheField name="[Query1].[Column1 (Month)].[Column1 (Month)]" caption="Column1 (Month)" numFmtId="0" hierarchy="14" level="1">
      <sharedItems containsSemiMixedTypes="0" containsNonDate="0" containsString="0"/>
    </cacheField>
    <cacheField name="[Measures].[Count of Patient Attend Status]" caption="Count of Patient Attend Status" numFmtId="0" hierarchy="31" level="32767"/>
    <cacheField name="[Hospital Emergency Room Data].[Patient Admission Flag].[Patient Admission Flag]" caption="Patient Admission Flag" numFmtId="0" hierarchy="8" level="1">
      <sharedItems count="2">
        <s v="Admitted"/>
        <s v="Not Admitted"/>
      </sharedItems>
    </cacheField>
    <cacheField name="[Query1].[Column1 (Year)].[Column1 (Year)]" caption="Column1 (Year)" numFmtId="0" hierarchy="16"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Column1]" caption="Column1" attribute="1" time="1" defaultMemberUniqueName="[Query1].[Column1].[All]" allUniqueName="[Query1].[Column1].[All]" dimensionUniqueName="[Query1]" displayFolder="" count="0" memberValueDatatype="7" unbalanced="0"/>
    <cacheHierarchy uniqueName="[Query1].[Column1 (Month)]" caption="Column1 (Month)" attribute="1" defaultMemberUniqueName="[Query1].[Column1 (Month)].[All]" allUniqueName="[Query1].[Column1 (Month)].[All]" dimensionUniqueName="[Query1]" displayFolder="" count="2" memberValueDatatype="130" unbalanced="0">
      <fieldsUsage count="2">
        <fieldUsage x="-1"/>
        <fieldUsage x="0"/>
      </fieldsUsage>
    </cacheHierarchy>
    <cacheHierarchy uniqueName="[Query1].[Column1 (Day)]" caption="Column1 (Day)" attribute="1" defaultMemberUniqueName="[Query1].[Column1 (Day)].[All]" allUniqueName="[Query1].[Column1 (Day)].[All]" dimensionUniqueName="[Query1]" displayFolder="" count="0" memberValueDatatype="130" unbalanced="0"/>
    <cacheHierarchy uniqueName="[Query1].[Column1 (Year)]" caption="Column1 (Year)" attribute="1" defaultMemberUniqueName="[Query1].[Column1 (Year)].[All]" allUniqueName="[Query1].[Column1 (Year)].[All]" dimensionUniqueName="[Query1]" displayFolder="" count="2" memberValueDatatype="130" unbalanced="0">
      <fieldsUsage count="2">
        <fieldUsage x="-1"/>
        <fieldUsage x="3"/>
      </fieldsUsage>
    </cacheHierarchy>
    <cacheHierarchy uniqueName="[Query1].[Column1 (Quarter)]" caption="Column1 (Quarter)" attribute="1" defaultMemberUniqueName="[Query1].[Column1 (Quarter)].[All]" allUniqueName="[Query1].[Column1 (Quarter)].[All]" dimensionUniqueName="[Query1]" displayFolder="" count="0" memberValueDatatype="130" unbalanced="0"/>
    <cacheHierarchy uniqueName="[Query1].[Column1 (Day Index)]" caption="Column1 (Day Index)" attribute="1" defaultMemberUniqueName="[Query1].[Column1 (Day Index)].[All]" allUniqueName="[Query1].[Column1 (Day Index)].[All]" dimensionUniqueName="[Query1]" displayFolder="" count="0" memberValueDatatype="5" unbalanced="0" hidden="1"/>
    <cacheHierarchy uniqueName="[Query1].[Column1 (Month Index)]" caption="Column1 (Month Index)" attribute="1" defaultMemberUniqueName="[Query1].[Column1 (Month Index)].[All]" allUniqueName="[Query1].[Column1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olumn1]" caption="Count of Column1" measure="1" displayFolder="" measureGroup="Query1" count="0" hidden="1">
      <extLst>
        <ext xmlns:x15="http://schemas.microsoft.com/office/spreadsheetml/2010/11/main" uri="{B97F6D7D-B522-45F9-BDA1-12C45D357490}">
          <x15:cacheHierarchy aggregatedColumn="13"/>
        </ext>
      </extLst>
    </cacheHierarchy>
    <cacheHierarchy uniqueName="[Measures].[Count of Column1 (Day)]" caption="Count of Column1 (Day)" measure="1" displayFolder="" measureGroup="Query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y uniqueName="Unsupported0" caption="Patient Id" measure="1" count="0">
      <extLst>
        <ext xmlns:x14="http://schemas.microsoft.com/office/spreadsheetml/2009/9/main" uri="{8CF416AD-EC4C-4aba-99F5-12A058AE0983}">
          <x14:cacheHierarchy ignore="1"/>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refreshedDate="46068.59097986111" createdVersion="5" refreshedVersion="8" minRefreshableVersion="3" recordCount="0" supportSubquery="1" supportAdvancedDrill="1" xr:uid="{40930BC3-4CBA-41CA-A176-967D5F8B14D6}">
  <cacheSource type="external" connectionId="3"/>
  <cacheFields count="4">
    <cacheField name="[Query1].[Column1 (Month)].[Column1 (Month)]" caption="Column1 (Month)" numFmtId="0" hierarchy="14" level="1">
      <sharedItems containsSemiMixedTypes="0" containsNonDate="0" containsString="0"/>
    </cacheField>
    <cacheField name="[Measures].[Count of Patient Age]" caption="Count of Patient Age" numFmtId="0" hierarchy="33" level="32767"/>
    <cacheField name="[Hospital Emergency Room Data].[Age Group].[Age Group]" caption="Age Group" numFmtId="0" hierarchy="11" level="1">
      <sharedItems count="8">
        <s v="0-09"/>
        <s v="10-19"/>
        <s v="20-29"/>
        <s v="30-39"/>
        <s v="40-49"/>
        <s v="50-59"/>
        <s v="60-69"/>
        <s v="70-79"/>
      </sharedItems>
    </cacheField>
    <cacheField name="[Query1].[Column1 (Year)].[Column1 (Year)]" caption="Column1 (Year)" numFmtId="0" hierarchy="16" level="1">
      <sharedItems containsSemiMixedTypes="0" containsNonDate="0" containsString="0"/>
    </cacheField>
  </cacheFields>
  <cacheHierarchies count="3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Column1]" caption="Column1" attribute="1" time="1" defaultMemberUniqueName="[Query1].[Column1].[All]" allUniqueName="[Query1].[Column1].[All]" dimensionUniqueName="[Query1]" displayFolder="" count="0" memberValueDatatype="7" unbalanced="0"/>
    <cacheHierarchy uniqueName="[Query1].[Column1 (Month)]" caption="Column1 (Month)" attribute="1" defaultMemberUniqueName="[Query1].[Column1 (Month)].[All]" allUniqueName="[Query1].[Column1 (Month)].[All]" dimensionUniqueName="[Query1]" displayFolder="" count="2" memberValueDatatype="130" unbalanced="0">
      <fieldsUsage count="2">
        <fieldUsage x="-1"/>
        <fieldUsage x="0"/>
      </fieldsUsage>
    </cacheHierarchy>
    <cacheHierarchy uniqueName="[Query1].[Column1 (Day)]" caption="Column1 (Day)" attribute="1" defaultMemberUniqueName="[Query1].[Column1 (Day)].[All]" allUniqueName="[Query1].[Column1 (Day)].[All]" dimensionUniqueName="[Query1]" displayFolder="" count="0" memberValueDatatype="130" unbalanced="0"/>
    <cacheHierarchy uniqueName="[Query1].[Column1 (Year)]" caption="Column1 (Year)" attribute="1" defaultMemberUniqueName="[Query1].[Column1 (Year)].[All]" allUniqueName="[Query1].[Column1 (Year)].[All]" dimensionUniqueName="[Query1]" displayFolder="" count="2" memberValueDatatype="130" unbalanced="0">
      <fieldsUsage count="2">
        <fieldUsage x="-1"/>
        <fieldUsage x="3"/>
      </fieldsUsage>
    </cacheHierarchy>
    <cacheHierarchy uniqueName="[Query1].[Column1 (Quarter)]" caption="Column1 (Quarter)" attribute="1" defaultMemberUniqueName="[Query1].[Column1 (Quarter)].[All]" allUniqueName="[Query1].[Column1 (Quarter)].[All]" dimensionUniqueName="[Query1]" displayFolder="" count="0" memberValueDatatype="130" unbalanced="0"/>
    <cacheHierarchy uniqueName="[Query1].[Column1 (Day Index)]" caption="Column1 (Day Index)" attribute="1" defaultMemberUniqueName="[Query1].[Column1 (Day Index)].[All]" allUniqueName="[Query1].[Column1 (Day Index)].[All]" dimensionUniqueName="[Query1]" displayFolder="" count="0" memberValueDatatype="5" unbalanced="0" hidden="1"/>
    <cacheHierarchy uniqueName="[Query1].[Column1 (Month Index)]" caption="Column1 (Month Index)" attribute="1" defaultMemberUniqueName="[Query1].[Column1 (Month Index)].[All]" allUniqueName="[Query1].[Column1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olumn1]" caption="Count of Column1" measure="1" displayFolder="" measureGroup="Query1" count="0" hidden="1">
      <extLst>
        <ext xmlns:x15="http://schemas.microsoft.com/office/spreadsheetml/2010/11/main" uri="{B97F6D7D-B522-45F9-BDA1-12C45D357490}">
          <x15:cacheHierarchy aggregatedColumn="13"/>
        </ext>
      </extLst>
    </cacheHierarchy>
    <cacheHierarchy uniqueName="[Measures].[Count of Column1 (Day)]" caption="Count of Column1 (Day)" measure="1" displayFolder="" measureGroup="Query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ge]" caption="Count of Patient Age"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refreshedDate="46068.590980439818" createdVersion="5" refreshedVersion="8" minRefreshableVersion="3" recordCount="0" supportSubquery="1" supportAdvancedDrill="1" xr:uid="{C4E77642-8D2C-458B-8997-28D8712646FC}">
  <cacheSource type="external" connectionId="3"/>
  <cacheFields count="4">
    <cacheField name="[Query1].[Column1 (Month)].[Column1 (Month)]" caption="Column1 (Month)" numFmtId="0" hierarchy="14"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2" level="1">
      <sharedItems count="2">
        <s v="Delay"/>
        <s v="OnTime"/>
      </sharedItems>
    </cacheField>
    <cacheField name="[Query1].[Column1 (Year)].[Column1 (Year)]" caption="Column1 (Year)" numFmtId="0" hierarchy="16" level="1">
      <sharedItems containsSemiMixedTypes="0" containsNonDate="0" containsString="0"/>
    </cacheField>
  </cacheFields>
  <cacheHierarchies count="3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Query1].[Column1]" caption="Column1" attribute="1" time="1" defaultMemberUniqueName="[Query1].[Column1].[All]" allUniqueName="[Query1].[Column1].[All]" dimensionUniqueName="[Query1]" displayFolder="" count="0" memberValueDatatype="7" unbalanced="0"/>
    <cacheHierarchy uniqueName="[Query1].[Column1 (Month)]" caption="Column1 (Month)" attribute="1" defaultMemberUniqueName="[Query1].[Column1 (Month)].[All]" allUniqueName="[Query1].[Column1 (Month)].[All]" dimensionUniqueName="[Query1]" displayFolder="" count="2" memberValueDatatype="130" unbalanced="0">
      <fieldsUsage count="2">
        <fieldUsage x="-1"/>
        <fieldUsage x="0"/>
      </fieldsUsage>
    </cacheHierarchy>
    <cacheHierarchy uniqueName="[Query1].[Column1 (Day)]" caption="Column1 (Day)" attribute="1" defaultMemberUniqueName="[Query1].[Column1 (Day)].[All]" allUniqueName="[Query1].[Column1 (Day)].[All]" dimensionUniqueName="[Query1]" displayFolder="" count="0" memberValueDatatype="130" unbalanced="0"/>
    <cacheHierarchy uniqueName="[Query1].[Column1 (Year)]" caption="Column1 (Year)" attribute="1" defaultMemberUniqueName="[Query1].[Column1 (Year)].[All]" allUniqueName="[Query1].[Column1 (Year)].[All]" dimensionUniqueName="[Query1]" displayFolder="" count="2" memberValueDatatype="130" unbalanced="0">
      <fieldsUsage count="2">
        <fieldUsage x="-1"/>
        <fieldUsage x="3"/>
      </fieldsUsage>
    </cacheHierarchy>
    <cacheHierarchy uniqueName="[Query1].[Column1 (Quarter)]" caption="Column1 (Quarter)" attribute="1" defaultMemberUniqueName="[Query1].[Column1 (Quarter)].[All]" allUniqueName="[Query1].[Column1 (Quarter)].[All]" dimensionUniqueName="[Query1]" displayFolder="" count="0" memberValueDatatype="130" unbalanced="0"/>
    <cacheHierarchy uniqueName="[Query1].[Column1 (Day Index)]" caption="Column1 (Day Index)" attribute="1" defaultMemberUniqueName="[Query1].[Column1 (Day Index)].[All]" allUniqueName="[Query1].[Column1 (Day Index)].[All]" dimensionUniqueName="[Query1]" displayFolder="" count="0" memberValueDatatype="5" unbalanced="0" hidden="1"/>
    <cacheHierarchy uniqueName="[Query1].[Column1 (Month Index)]" caption="Column1 (Month Index)" attribute="1" defaultMemberUniqueName="[Query1].[Column1 (Month Index)].[All]" allUniqueName="[Query1].[Column1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olumn1]" caption="Count of Column1" measure="1" displayFolder="" measureGroup="Query1" count="0" hidden="1">
      <extLst>
        <ext xmlns:x15="http://schemas.microsoft.com/office/spreadsheetml/2010/11/main" uri="{B97F6D7D-B522-45F9-BDA1-12C45D357490}">
          <x15:cacheHierarchy aggregatedColumn="13"/>
        </ext>
      </extLst>
    </cacheHierarchy>
    <cacheHierarchy uniqueName="[Measures].[Count of Column1 (Day)]" caption="Count of Column1 (Day)" measure="1" displayFolder="" measureGroup="Query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refreshedDate="46066.858548263888" createdVersion="3" refreshedVersion="8" minRefreshableVersion="3" recordCount="0" supportSubquery="1" supportAdvancedDrill="1" xr:uid="{7D4EB2F6-65E6-4859-B0B8-0A5079069F54}">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Column1]" caption="Column1" attribute="1" time="1" defaultMemberUniqueName="[Query1].[Column1].[All]" allUniqueName="[Query1].[Column1].[All]" dimensionUniqueName="[Query1]" displayFolder="" count="0" memberValueDatatype="7" unbalanced="0"/>
    <cacheHierarchy uniqueName="[Query1].[Column1 (Month)]" caption="Column1 (Month)" attribute="1" defaultMemberUniqueName="[Query1].[Column1 (Month)].[All]" allUniqueName="[Query1].[Column1 (Month)].[All]" dimensionUniqueName="[Query1]" displayFolder="" count="2" memberValueDatatype="130" unbalanced="0"/>
    <cacheHierarchy uniqueName="[Query1].[Column1 (Day)]" caption="Column1 (Day)" attribute="1" defaultMemberUniqueName="[Query1].[Column1 (Day)].[All]" allUniqueName="[Query1].[Column1 (Day)].[All]" dimensionUniqueName="[Query1]" displayFolder="" count="0" memberValueDatatype="130" unbalanced="0"/>
    <cacheHierarchy uniqueName="[Query1].[Column1 (Year)]" caption="Column1 (Year)" attribute="1" defaultMemberUniqueName="[Query1].[Column1 (Year)].[All]" allUniqueName="[Query1].[Column1 (Year)].[All]" dimensionUniqueName="[Query1]" displayFolder="" count="2" memberValueDatatype="130" unbalanced="0"/>
    <cacheHierarchy uniqueName="[Query1].[Column1 (Quarter)]" caption="Column1 (Quarter)" attribute="1" defaultMemberUniqueName="[Query1].[Column1 (Quarter)].[All]" allUniqueName="[Query1].[Column1 (Quarter)].[All]" dimensionUniqueName="[Query1]" displayFolder="" count="0" memberValueDatatype="130" unbalanced="0"/>
    <cacheHierarchy uniqueName="[Query1].[Column1 (Day Index)]" caption="Column1 (Day Index)" attribute="1" defaultMemberUniqueName="[Query1].[Column1 (Day Index)].[All]" allUniqueName="[Query1].[Column1 (Day Index)].[All]" dimensionUniqueName="[Query1]" displayFolder="" count="0" memberValueDatatype="5" unbalanced="0" hidden="1"/>
    <cacheHierarchy uniqueName="[Query1].[Column1 (Month Index)]" caption="Column1 (Month Index)" attribute="1" defaultMemberUniqueName="[Query1].[Column1 (Month Index)].[All]" allUniqueName="[Query1].[Column1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olumn1]" caption="Count of Column1" measure="1" displayFolder="" measureGroup="Query1" count="0" hidden="1">
      <extLst>
        <ext xmlns:x15="http://schemas.microsoft.com/office/spreadsheetml/2010/11/main" uri="{B97F6D7D-B522-45F9-BDA1-12C45D357490}">
          <x15:cacheHierarchy aggregatedColumn="13"/>
        </ext>
      </extLst>
    </cacheHierarchy>
    <cacheHierarchy uniqueName="[Measures].[Count of Column1 (Day)]" caption="Count of Column1 (Day)" measure="1" displayFolder="" measureGroup="Query1"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5954408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6194C5-B48E-4DBD-A6DB-7380E0762C6B}" name="PivotTable10" cacheId="957" applyNumberFormats="0" applyBorderFormats="0" applyFontFormats="0" applyPatternFormats="0" applyAlignmentFormats="0" applyWidthHeightFormats="1" dataCaption="Values" tag="f56790e5-1617-4e13-b3b9-f53425fa0eee" updatedVersion="8" minRefreshableVersion="3" subtotalHiddenItems="1" itemPrintTitles="1" createdVersion="5" indent="0" outline="1" outlineData="1" multipleFieldFilters="0" chartFormat="57">
  <location ref="X33:Y3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0">
      <pivotArea outline="0" collapsedLevelsAreSubtotals="1" fieldPosition="0"/>
    </format>
  </formats>
  <chartFormats count="3">
    <chartFormat chart="48" format="4" series="1">
      <pivotArea type="data" outline="0" fieldPosition="0">
        <references count="1">
          <reference field="4294967294" count="1" selected="0">
            <x v="0"/>
          </reference>
        </references>
      </pivotArea>
    </chartFormat>
    <chartFormat chart="48" format="5">
      <pivotArea type="data" outline="0" fieldPosition="0">
        <references count="2">
          <reference field="4294967294" count="1" selected="0">
            <x v="0"/>
          </reference>
          <reference field="1" count="1" selected="0">
            <x v="0"/>
          </reference>
        </references>
      </pivotArea>
    </chartFormat>
    <chartFormat chart="48"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olumn1 (Month)].&amp;[Jun]"/>
      </members>
    </pivotHierarchy>
    <pivotHierarchy dragToData="1"/>
    <pivotHierarchy multipleItemSelectionAllowed="1" dragToData="1">
      <members count="1" level="1">
        <member name="[Query1].[Column1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FB2D2E-3A6A-4A74-8525-39857D0A389A}" name="PivotTable5" cacheId="972" applyNumberFormats="0" applyBorderFormats="0" applyFontFormats="0" applyPatternFormats="0" applyAlignmentFormats="0" applyWidthHeightFormats="1" dataCaption="Values" tag="f56790e5-1617-4e13-b3b9-f53425fa0eee" updatedVersion="8" minRefreshableVersion="3" subtotalHiddenItems="1" itemPrintTitles="1" createdVersion="5" indent="0" outline="1" outlineData="1" multipleFieldFilters="0" chartFormat="12">
  <location ref="F16:G4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1" baseItem="0"/>
  </dataFields>
  <formats count="1">
    <format dxfId="1">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olumn1 (Month)].&amp;[Jun]"/>
      </members>
    </pivotHierarchy>
    <pivotHierarchy dragToData="1"/>
    <pivotHierarchy multipleItemSelectionAllowed="1" dragToData="1">
      <members count="1" level="1">
        <member name="[Query1].[Column1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D699A3-A213-451E-B68B-B483D23E52D5}" name="PivotTable3" cacheId="966" applyNumberFormats="0" applyBorderFormats="0" applyFontFormats="0" applyPatternFormats="0" applyAlignmentFormats="0" applyWidthHeightFormats="1" dataCaption="Values" tag="f56790e5-1617-4e13-b3b9-f53425fa0eee"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olumn1 (Month)].&amp;[Jun]"/>
      </members>
    </pivotHierarchy>
    <pivotHierarchy dragToData="1"/>
    <pivotHierarchy multipleItemSelectionAllowed="1" dragToData="1">
      <members count="1" level="1">
        <member name="[Query1].[Column1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F4526A-0BF6-46F0-92A0-2B9FB7F5882B}" name="PivotTable9" cacheId="984" applyNumberFormats="0" applyBorderFormats="0" applyFontFormats="0" applyPatternFormats="0" applyAlignmentFormats="0" applyWidthHeightFormats="1" dataCaption="Values" tag="f56790e5-1617-4e13-b3b9-f53425fa0eee" updatedVersion="8" minRefreshableVersion="3" subtotalHiddenItems="1" itemPrintTitles="1" createdVersion="5" indent="0" outline="1" outlineData="1" multipleFieldFilters="0" chartFormat="45">
  <location ref="P34:Q3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3">
      <pivotArea outline="0" collapsedLevelsAreSubtotals="1" fieldPosition="0"/>
    </format>
  </formats>
  <chartFormats count="3">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2" count="1" selected="0">
            <x v="0"/>
          </reference>
        </references>
      </pivotArea>
    </chartFormat>
    <chartFormat chart="37"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olumn1 (Month)].&amp;[Jun]"/>
      </members>
    </pivotHierarchy>
    <pivotHierarchy dragToData="1"/>
    <pivotHierarchy multipleItemSelectionAllowed="1" dragToData="1">
      <members count="1" level="1">
        <member name="[Query1].[Column1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0A2152-CDAE-4CED-A328-96822BDBA339}" name="PivotTable2" cacheId="963" applyNumberFormats="0" applyBorderFormats="0" applyFontFormats="0" applyPatternFormats="0" applyAlignmentFormats="0" applyWidthHeightFormats="1" dataCaption="Values" tag="f56790e5-1617-4e13-b3b9-f53425fa0eee"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olumn1 (Month)].&amp;[Jun]"/>
      </members>
    </pivotHierarchy>
    <pivotHierarchy dragToData="1"/>
    <pivotHierarchy multipleItemSelectionAllowed="1" dragToData="1">
      <members count="1" level="1">
        <member name="[Query1].[Column1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811F38-7CA9-42F5-9849-913E0468D391}" name="PivotTable8" cacheId="981" applyNumberFormats="0" applyBorderFormats="0" applyFontFormats="0" applyPatternFormats="0" applyAlignmentFormats="0" applyWidthHeightFormats="1" dataCaption="Values" tag="f56790e5-1617-4e13-b3b9-f53425fa0eee" updatedVersion="8" minRefreshableVersion="3" subtotalHiddenItems="1" itemPrintTitles="1" createdVersion="5" indent="0" outline="1" outlineData="1" multipleFieldFilters="0" chartFormat="34">
  <location ref="T17:U2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Patient Age" fld="1" subtotal="count" baseField="0" baseItem="0" numFmtId="1"/>
  </dataFields>
  <formats count="1">
    <format dxfId="5">
      <pivotArea outline="0" collapsedLevelsAreSubtotals="1" fieldPosition="0"/>
    </format>
  </formats>
  <chartFormats count="1">
    <chartFormat chart="33"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olumn1 (Month)].&amp;[Jun]"/>
      </members>
    </pivotHierarchy>
    <pivotHierarchy dragToData="1"/>
    <pivotHierarchy multipleItemSelectionAllowed="1" dragToData="1">
      <members count="1" level="1">
        <member name="[Query1].[Column1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B4B4C7-E855-4EF2-8E5D-622536F34E22}" name="PivotTable1" cacheId="954" applyNumberFormats="0" applyBorderFormats="0" applyFontFormats="0" applyPatternFormats="0" applyAlignmentFormats="0" applyWidthHeightFormats="1" dataCaption="Values" tag="f56790e5-1617-4e13-b3b9-f53425fa0eee"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olumn1 (Month)].&amp;[Jun]"/>
      </members>
    </pivotHierarchy>
    <pivotHierarchy dragToData="1"/>
    <pivotHierarchy multipleItemSelectionAllowed="1" dragToData="1">
      <members count="1" level="1">
        <member name="[Query1].[Column1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D17D19-D4C7-43F7-BA5F-50EA022716A6}" name="PivotTable7" cacheId="978" applyNumberFormats="0" applyBorderFormats="0" applyFontFormats="0" applyPatternFormats="0" applyAlignmentFormats="0" applyWidthHeightFormats="1" dataCaption="Values" tag="f56790e5-1617-4e13-b3b9-f53425fa0eee" updatedVersion="8" minRefreshableVersion="3" subtotalHiddenItems="1" itemPrintTitles="1" createdVersion="5" indent="0" outline="1" outlineData="1" multipleFieldFilters="0" chartFormat="27">
  <location ref="H83:J86"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ttend Status" fld="1" subtotal="count" baseField="0" baseItem="0"/>
    <dataField name="Count of Patient Attend Status2" fld="4" subtotal="count" showDataAs="percentOfTotal" baseField="0" baseItem="0" numFmtId="10">
      <extLst>
        <ext xmlns:x14="http://schemas.microsoft.com/office/spreadsheetml/2009/9/main" uri="{E15A36E0-9728-4e99-A89B-3F7291B0FE68}">
          <x14:dataField sourceField="1" uniqueName="[__Xl2].[Measures].[Count of Patient Attend Status]"/>
        </ext>
      </extLst>
    </dataField>
  </dataFields>
  <formats count="2">
    <format dxfId="7">
      <pivotArea outline="0" collapsedLevelsAreSubtotals="1" fieldPosition="0"/>
    </format>
    <format dxfId="6">
      <pivotArea outline="0" fieldPosition="0">
        <references count="1">
          <reference field="4294967294" count="1">
            <x v="1"/>
          </reference>
        </references>
      </pivotArea>
    </format>
  </formats>
  <chartFormats count="3">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5" format="2">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olumn1 (Month)].&amp;[Jun]"/>
      </members>
    </pivotHierarchy>
    <pivotHierarchy dragToData="1"/>
    <pivotHierarchy multipleItemSelectionAllowed="1" dragToData="1">
      <members count="1" level="1">
        <member name="[Query1].[Column1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D1D1E4-44C8-43DA-85A1-BAFB63ABC25F}" name="PivotTable12" cacheId="951" applyNumberFormats="0" applyBorderFormats="0" applyFontFormats="0" applyPatternFormats="0" applyAlignmentFormats="0" applyWidthHeightFormats="1" dataCaption="Values" tag="f56790e5-1617-4e13-b3b9-f53425fa0eee" updatedVersion="8" minRefreshableVersion="3" subtotalHiddenItems="1" itemPrintTitles="1" createdVersion="5" indent="0" outline="1" outlineData="1" multipleFieldFilters="0" chartFormat="57">
  <location ref="AB43:AB4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8">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olumn1 (Month)].&amp;[Jun]"/>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4">
    <rowHierarchyUsage hierarchyUsage="16"/>
    <rowHierarchyUsage hierarchyUsage="17"/>
    <rowHierarchyUsage hierarchyUsage="14"/>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C6AAE6-7221-4944-B79D-5D2558015AED}" name="PivotTable11" cacheId="960" applyNumberFormats="0" applyBorderFormats="0" applyFontFormats="0" applyPatternFormats="0" applyAlignmentFormats="0" applyWidthHeightFormats="1" dataCaption="Values" tag="f56790e5-1617-4e13-b3b9-f53425fa0eee" updatedVersion="8" minRefreshableVersion="3" subtotalHiddenItems="1" itemPrintTitles="1" createdVersion="5" indent="0" outline="1" outlineData="1" multipleFieldFilters="0" chartFormat="63">
  <location ref="V43:W5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formats count="1">
    <format dxfId="9">
      <pivotArea outline="0" collapsedLevelsAreSubtotals="1" fieldPosition="0"/>
    </format>
  </formats>
  <chartFormats count="1">
    <chartFormat chart="60"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olumn1 (Month)].&amp;[Jun]"/>
      </members>
    </pivotHierarchy>
    <pivotHierarchy dragToData="1"/>
    <pivotHierarchy multipleItemSelectionAllowed="1" dragToData="1">
      <members count="1" level="1">
        <member name="[Query1].[Column1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00F92DF-A255-4492-9DD8-F7E08C7B2994}" name="PivotTable4" cacheId="969" applyNumberFormats="0" applyBorderFormats="0" applyFontFormats="0" applyPatternFormats="0" applyAlignmentFormats="0" applyWidthHeightFormats="1" dataCaption="Values" tag="f56790e5-1617-4e13-b3b9-f53425fa0eee" updatedVersion="8" minRefreshableVersion="3" subtotalHiddenItems="1" itemPrintTitles="1" createdVersion="5" indent="0" outline="1" outlineData="1" multipleFieldFilters="0" chartFormat="27">
  <location ref="A16:B4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formats count="1">
    <format dxfId="10">
      <pivotArea outline="0" collapsedLevelsAreSubtotals="1" fieldPosition="0"/>
    </format>
  </formats>
  <chartFormats count="9">
    <chartFormat chart="1" format="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olumn1 (Month)].&amp;[Jun]"/>
      </members>
    </pivotHierarchy>
    <pivotHierarchy dragToData="1"/>
    <pivotHierarchy multipleItemSelectionAllowed="1" dragToData="1">
      <members count="1" level="1">
        <member name="[Query1].[Column1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0E62506-463F-458D-8E4D-B22D4CA63C41}" name="PivotTable6" cacheId="975" applyNumberFormats="0" applyBorderFormats="0" applyFontFormats="0" applyPatternFormats="0" applyAlignmentFormats="0" applyWidthHeightFormats="1" dataCaption="Values" tag="f56790e5-1617-4e13-b3b9-f53425fa0eee" updatedVersion="8" minRefreshableVersion="3" subtotalHiddenItems="1" itemPrintTitles="1" createdVersion="5" indent="0" outline="1" outlineData="1" multipleFieldFilters="0" chartFormat="25">
  <location ref="J16:K4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1" baseItem="0"/>
  </dataFields>
  <formats count="1">
    <format dxfId="11">
      <pivotArea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olumn1 (Month)].&amp;[Jun]"/>
      </members>
    </pivotHierarchy>
    <pivotHierarchy dragToData="1"/>
    <pivotHierarchy multipleItemSelectionAllowed="1" dragToData="1">
      <members count="1" level="1">
        <member name="[Query1].[Column1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Month" xr10:uid="{55E66F0E-B429-46E4-8553-75E3FA3C91C9}" sourceName="[Query1].[Column1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595440888">
      <levels count="2">
        <level uniqueName="[Query1].[Column1 (Month)].[(All)]" sourceCaption="(All)" count="0"/>
        <level uniqueName="[Query1].[Column1 (Month)].[Column1 (Month)]" sourceCaption="Column1 (Month)" count="12">
          <ranges>
            <range startItem="0">
              <i n="[Query1].[Column1 (Month)].&amp;[Jan]" c="Jan"/>
              <i n="[Query1].[Column1 (Month)].&amp;[Feb]" c="Feb"/>
              <i n="[Query1].[Column1 (Month)].&amp;[Mar]" c="Mar"/>
              <i n="[Query1].[Column1 (Month)].&amp;[Apr]" c="Apr"/>
              <i n="[Query1].[Column1 (Month)].&amp;[May]" c="May"/>
              <i n="[Query1].[Column1 (Month)].&amp;[Jun]" c="Jun"/>
              <i n="[Query1].[Column1 (Month)].&amp;[Jul]" c="Jul"/>
              <i n="[Query1].[Column1 (Month)].&amp;[Aug]" c="Aug"/>
              <i n="[Query1].[Column1 (Month)].&amp;[Sep]" c="Sep"/>
              <i n="[Query1].[Column1 (Month)].&amp;[Oct]" c="Oct"/>
              <i n="[Query1].[Column1 (Month)].&amp;[Nov]" c="Nov"/>
              <i n="[Query1].[Column1 (Month)].&amp;[Dec]" c="Dec"/>
            </range>
          </ranges>
        </level>
      </levels>
      <selections count="1">
        <selection n="[Query1].[Column1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Year" xr10:uid="{D68BF172-0F38-4E64-AC34-2656F64A6FD5}" sourceName="[Query1].[Column1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95440888">
      <levels count="2">
        <level uniqueName="[Query1].[Column1 (Year)].[(All)]" sourceCaption="(All)" count="0"/>
        <level uniqueName="[Query1].[Column1 (Year)].[Column1 (Year)]" sourceCaption="Column1 (Year)" count="2">
          <ranges>
            <range startItem="0">
              <i n="[Query1].[Column1 (Year)].&amp;[2023]" c="2023"/>
              <i n="[Query1].[Column1 (Year)].&amp;[2024]" c="2024"/>
            </range>
          </ranges>
        </level>
      </levels>
      <selections count="1">
        <selection n="[Query1].[Column1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Month)" xr10:uid="{2C712258-B6CB-4D35-A556-F2A408380D10}" cache="Slicer_Column1__Month" caption="Column1 (Month)" showCaption="0" level="1" style="My Style" rowHeight="144000"/>
  <slicer name="Column1 (Year)" xr10:uid="{BA8169AD-BFBD-4786-B2E5-590E30E02B69}" cache="Slicer_Column1__Year" caption="Column1 (Year)" columnCount="2" showCaption="0" level="1" style="My Style"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B97"/>
  <sheetViews>
    <sheetView topLeftCell="Y31" zoomScale="127" zoomScaleNormal="86" workbookViewId="0">
      <selection activeCell="AB43" sqref="AB43"/>
    </sheetView>
  </sheetViews>
  <sheetFormatPr defaultRowHeight="15" x14ac:dyDescent="0.25"/>
  <cols>
    <col min="1" max="1" width="16.85546875" customWidth="1"/>
    <col min="2" max="2" width="13.42578125" customWidth="1"/>
    <col min="4" max="4" width="17" customWidth="1"/>
    <col min="6" max="6" width="16.7109375" customWidth="1"/>
    <col min="7" max="7" width="19.85546875" customWidth="1"/>
    <col min="8" max="8" width="22.7109375" bestFit="1" customWidth="1"/>
    <col min="9" max="9" width="29.85546875" bestFit="1" customWidth="1"/>
    <col min="10" max="10" width="31" bestFit="1" customWidth="1"/>
    <col min="11" max="11" width="30.7109375" bestFit="1" customWidth="1"/>
  </cols>
  <sheetData>
    <row r="2" spans="1:20" x14ac:dyDescent="0.25">
      <c r="A2" t="s">
        <v>3</v>
      </c>
    </row>
    <row r="3" spans="1:20" x14ac:dyDescent="0.25">
      <c r="A3" t="s">
        <v>2</v>
      </c>
    </row>
    <row r="4" spans="1:20" x14ac:dyDescent="0.25">
      <c r="A4" s="15">
        <v>485</v>
      </c>
    </row>
    <row r="6" spans="1:20" x14ac:dyDescent="0.25">
      <c r="A6" t="s">
        <v>5</v>
      </c>
    </row>
    <row r="7" spans="1:20" x14ac:dyDescent="0.25">
      <c r="A7" t="s">
        <v>4</v>
      </c>
    </row>
    <row r="8" spans="1:20" x14ac:dyDescent="0.25">
      <c r="A8" s="3">
        <v>35.507216494845359</v>
      </c>
    </row>
    <row r="11" spans="1:20" x14ac:dyDescent="0.25">
      <c r="A11" t="s">
        <v>6</v>
      </c>
    </row>
    <row r="12" spans="1:20" x14ac:dyDescent="0.25">
      <c r="A12" t="s">
        <v>7</v>
      </c>
    </row>
    <row r="13" spans="1:20" x14ac:dyDescent="0.25">
      <c r="A13" s="3">
        <v>4.7092198581560281</v>
      </c>
    </row>
    <row r="15" spans="1:20" x14ac:dyDescent="0.25">
      <c r="A15" t="s">
        <v>9</v>
      </c>
      <c r="F15" t="s">
        <v>10</v>
      </c>
      <c r="J15" t="s">
        <v>11</v>
      </c>
    </row>
    <row r="16" spans="1:20" x14ac:dyDescent="0.25">
      <c r="A16" s="1" t="s">
        <v>0</v>
      </c>
      <c r="B16" t="s">
        <v>2</v>
      </c>
      <c r="F16" s="1" t="s">
        <v>0</v>
      </c>
      <c r="G16" t="s">
        <v>4</v>
      </c>
      <c r="J16" s="1" t="s">
        <v>0</v>
      </c>
      <c r="K16" t="s">
        <v>7</v>
      </c>
      <c r="T16" t="s">
        <v>28</v>
      </c>
    </row>
    <row r="17" spans="1:24" x14ac:dyDescent="0.25">
      <c r="A17" s="2" t="s">
        <v>47</v>
      </c>
      <c r="B17" s="3">
        <v>17</v>
      </c>
      <c r="F17" s="2" t="s">
        <v>47</v>
      </c>
      <c r="G17" s="3">
        <v>33.352941176470587</v>
      </c>
      <c r="J17" s="2" t="s">
        <v>47</v>
      </c>
      <c r="K17" s="3">
        <v>4.75</v>
      </c>
      <c r="T17" s="1" t="s">
        <v>0</v>
      </c>
      <c r="U17" t="s">
        <v>19</v>
      </c>
    </row>
    <row r="18" spans="1:24" x14ac:dyDescent="0.25">
      <c r="A18" s="2" t="s">
        <v>48</v>
      </c>
      <c r="B18" s="3">
        <v>10</v>
      </c>
      <c r="F18" s="2" t="s">
        <v>48</v>
      </c>
      <c r="G18" s="3">
        <v>38.4</v>
      </c>
      <c r="J18" s="2" t="s">
        <v>48</v>
      </c>
      <c r="K18" s="3">
        <v>5.2</v>
      </c>
      <c r="T18" s="2" t="s">
        <v>20</v>
      </c>
      <c r="U18" s="14">
        <v>52</v>
      </c>
    </row>
    <row r="19" spans="1:24" x14ac:dyDescent="0.25">
      <c r="A19" s="2" t="s">
        <v>49</v>
      </c>
      <c r="B19" s="3">
        <v>23</v>
      </c>
      <c r="F19" s="2" t="s">
        <v>49</v>
      </c>
      <c r="G19" s="3">
        <v>38.521739130434781</v>
      </c>
      <c r="J19" s="2" t="s">
        <v>49</v>
      </c>
      <c r="K19" s="3">
        <v>3.375</v>
      </c>
      <c r="T19" s="2" t="s">
        <v>21</v>
      </c>
      <c r="U19" s="14">
        <v>58</v>
      </c>
    </row>
    <row r="20" spans="1:24" x14ac:dyDescent="0.25">
      <c r="A20" s="2" t="s">
        <v>50</v>
      </c>
      <c r="B20" s="3">
        <v>15</v>
      </c>
      <c r="F20" s="2" t="s">
        <v>50</v>
      </c>
      <c r="G20" s="3">
        <v>30.4</v>
      </c>
      <c r="J20" s="2" t="s">
        <v>50</v>
      </c>
      <c r="K20" s="3">
        <v>5.8</v>
      </c>
      <c r="T20" s="2" t="s">
        <v>22</v>
      </c>
      <c r="U20" s="14">
        <v>70</v>
      </c>
    </row>
    <row r="21" spans="1:24" x14ac:dyDescent="0.25">
      <c r="A21" s="2" t="s">
        <v>51</v>
      </c>
      <c r="B21" s="3">
        <v>14</v>
      </c>
      <c r="F21" s="2" t="s">
        <v>51</v>
      </c>
      <c r="G21" s="3">
        <v>33.142857142857146</v>
      </c>
      <c r="J21" s="2" t="s">
        <v>51</v>
      </c>
      <c r="K21" s="3">
        <v>4.375</v>
      </c>
      <c r="T21" s="2" t="s">
        <v>23</v>
      </c>
      <c r="U21" s="14">
        <v>59</v>
      </c>
    </row>
    <row r="22" spans="1:24" x14ac:dyDescent="0.25">
      <c r="A22" s="2" t="s">
        <v>52</v>
      </c>
      <c r="B22" s="3">
        <v>11</v>
      </c>
      <c r="F22" s="2" t="s">
        <v>52</v>
      </c>
      <c r="G22" s="3">
        <v>38.18181818181818</v>
      </c>
      <c r="J22" s="2" t="s">
        <v>52</v>
      </c>
      <c r="K22" s="3">
        <v>3</v>
      </c>
      <c r="T22" s="2" t="s">
        <v>24</v>
      </c>
      <c r="U22" s="14">
        <v>59</v>
      </c>
    </row>
    <row r="23" spans="1:24" x14ac:dyDescent="0.25">
      <c r="A23" s="2" t="s">
        <v>53</v>
      </c>
      <c r="B23" s="3">
        <v>15</v>
      </c>
      <c r="F23" s="2" t="s">
        <v>53</v>
      </c>
      <c r="G23" s="3">
        <v>39.733333333333334</v>
      </c>
      <c r="J23" s="2" t="s">
        <v>53</v>
      </c>
      <c r="K23" s="3">
        <v>5</v>
      </c>
      <c r="T23" s="2" t="s">
        <v>25</v>
      </c>
      <c r="U23" s="14">
        <v>56</v>
      </c>
    </row>
    <row r="24" spans="1:24" x14ac:dyDescent="0.25">
      <c r="A24" s="2" t="s">
        <v>54</v>
      </c>
      <c r="B24" s="3">
        <v>20</v>
      </c>
      <c r="F24" s="2" t="s">
        <v>54</v>
      </c>
      <c r="G24" s="3">
        <v>37</v>
      </c>
      <c r="J24" s="2" t="s">
        <v>54</v>
      </c>
      <c r="K24" s="3">
        <v>3</v>
      </c>
      <c r="T24" s="2" t="s">
        <v>26</v>
      </c>
      <c r="U24" s="14">
        <v>59</v>
      </c>
    </row>
    <row r="25" spans="1:24" x14ac:dyDescent="0.25">
      <c r="A25" s="2" t="s">
        <v>55</v>
      </c>
      <c r="B25" s="3">
        <v>21</v>
      </c>
      <c r="F25" s="2" t="s">
        <v>55</v>
      </c>
      <c r="G25" s="3">
        <v>35.61904761904762</v>
      </c>
      <c r="J25" s="2" t="s">
        <v>55</v>
      </c>
      <c r="K25" s="3">
        <v>4.9090909090909092</v>
      </c>
      <c r="T25" s="2" t="s">
        <v>27</v>
      </c>
      <c r="U25" s="14">
        <v>72</v>
      </c>
    </row>
    <row r="26" spans="1:24" x14ac:dyDescent="0.25">
      <c r="A26" s="2" t="s">
        <v>56</v>
      </c>
      <c r="B26" s="3">
        <v>17</v>
      </c>
      <c r="F26" s="2" t="s">
        <v>56</v>
      </c>
      <c r="G26" s="3">
        <v>34.176470588235297</v>
      </c>
      <c r="J26" s="2" t="s">
        <v>56</v>
      </c>
      <c r="K26" s="3">
        <v>3.8333333333333335</v>
      </c>
      <c r="T26" s="2" t="s">
        <v>1</v>
      </c>
      <c r="U26" s="14">
        <v>485</v>
      </c>
    </row>
    <row r="27" spans="1:24" x14ac:dyDescent="0.25">
      <c r="A27" s="2" t="s">
        <v>57</v>
      </c>
      <c r="B27" s="3">
        <v>17</v>
      </c>
      <c r="F27" s="2" t="s">
        <v>57</v>
      </c>
      <c r="G27" s="3">
        <v>37.176470588235297</v>
      </c>
      <c r="J27" s="2" t="s">
        <v>57</v>
      </c>
      <c r="K27" s="3">
        <v>3.875</v>
      </c>
    </row>
    <row r="28" spans="1:24" x14ac:dyDescent="0.25">
      <c r="A28" s="2" t="s">
        <v>58</v>
      </c>
      <c r="B28" s="3">
        <v>17</v>
      </c>
      <c r="F28" s="2" t="s">
        <v>58</v>
      </c>
      <c r="G28" s="3">
        <v>36.647058823529413</v>
      </c>
      <c r="J28" s="2" t="s">
        <v>58</v>
      </c>
      <c r="K28" s="3">
        <v>4.333333333333333</v>
      </c>
    </row>
    <row r="29" spans="1:24" x14ac:dyDescent="0.25">
      <c r="A29" s="2" t="s">
        <v>59</v>
      </c>
      <c r="B29" s="3">
        <v>17</v>
      </c>
      <c r="F29" s="2" t="s">
        <v>59</v>
      </c>
      <c r="G29" s="3">
        <v>34.941176470588232</v>
      </c>
      <c r="J29" s="2" t="s">
        <v>59</v>
      </c>
      <c r="K29" s="3">
        <v>3.5</v>
      </c>
    </row>
    <row r="30" spans="1:24" x14ac:dyDescent="0.25">
      <c r="A30" s="2" t="s">
        <v>60</v>
      </c>
      <c r="B30" s="3">
        <v>11</v>
      </c>
      <c r="F30" s="2" t="s">
        <v>60</v>
      </c>
      <c r="G30" s="3">
        <v>44</v>
      </c>
      <c r="J30" s="2" t="s">
        <v>60</v>
      </c>
      <c r="K30" s="3">
        <v>5.4</v>
      </c>
    </row>
    <row r="31" spans="1:24" x14ac:dyDescent="0.25">
      <c r="A31" s="2" t="s">
        <v>61</v>
      </c>
      <c r="B31" s="3">
        <v>23</v>
      </c>
      <c r="F31" s="2" t="s">
        <v>61</v>
      </c>
      <c r="G31" s="3">
        <v>38.913043478260867</v>
      </c>
      <c r="J31" s="2" t="s">
        <v>61</v>
      </c>
      <c r="K31" s="3">
        <v>5.375</v>
      </c>
    </row>
    <row r="32" spans="1:24" x14ac:dyDescent="0.25">
      <c r="A32" s="2" t="s">
        <v>62</v>
      </c>
      <c r="B32" s="3">
        <v>14</v>
      </c>
      <c r="F32" s="2" t="s">
        <v>62</v>
      </c>
      <c r="G32" s="3">
        <v>31</v>
      </c>
      <c r="J32" s="2" t="s">
        <v>62</v>
      </c>
      <c r="K32" s="3">
        <v>3.3333333333333335</v>
      </c>
      <c r="X32" t="s">
        <v>35</v>
      </c>
    </row>
    <row r="33" spans="1:28" x14ac:dyDescent="0.25">
      <c r="A33" s="2" t="s">
        <v>63</v>
      </c>
      <c r="B33" s="3">
        <v>22</v>
      </c>
      <c r="F33" s="2" t="s">
        <v>63</v>
      </c>
      <c r="G33" s="3">
        <v>34.227272727272727</v>
      </c>
      <c r="J33" s="2" t="s">
        <v>63</v>
      </c>
      <c r="K33" s="3">
        <v>6.2</v>
      </c>
      <c r="P33" t="s">
        <v>36</v>
      </c>
      <c r="X33" s="1" t="s">
        <v>0</v>
      </c>
      <c r="Y33" t="s">
        <v>34</v>
      </c>
    </row>
    <row r="34" spans="1:28" x14ac:dyDescent="0.25">
      <c r="A34" s="2" t="s">
        <v>64</v>
      </c>
      <c r="B34" s="3">
        <v>16</v>
      </c>
      <c r="F34" s="2" t="s">
        <v>64</v>
      </c>
      <c r="G34" s="3">
        <v>31</v>
      </c>
      <c r="J34" s="2" t="s">
        <v>64</v>
      </c>
      <c r="K34" s="3">
        <v>1.6666666666666667</v>
      </c>
      <c r="P34" s="1" t="s">
        <v>0</v>
      </c>
      <c r="Q34" t="s">
        <v>29</v>
      </c>
      <c r="X34" s="2" t="s">
        <v>32</v>
      </c>
      <c r="Y34" s="14">
        <v>239</v>
      </c>
    </row>
    <row r="35" spans="1:28" x14ac:dyDescent="0.25">
      <c r="A35" s="2" t="s">
        <v>65</v>
      </c>
      <c r="B35" s="3">
        <v>13</v>
      </c>
      <c r="F35" s="2" t="s">
        <v>65</v>
      </c>
      <c r="G35" s="3">
        <v>32.153846153846153</v>
      </c>
      <c r="J35" s="2" t="s">
        <v>65</v>
      </c>
      <c r="K35" s="3">
        <v>4.5</v>
      </c>
      <c r="P35" s="2" t="s">
        <v>30</v>
      </c>
      <c r="Q35" s="14">
        <v>297</v>
      </c>
      <c r="X35" s="2" t="s">
        <v>33</v>
      </c>
      <c r="Y35" s="14">
        <v>246</v>
      </c>
    </row>
    <row r="36" spans="1:28" x14ac:dyDescent="0.25">
      <c r="A36" s="2" t="s">
        <v>66</v>
      </c>
      <c r="B36" s="3">
        <v>14</v>
      </c>
      <c r="F36" s="2" t="s">
        <v>66</v>
      </c>
      <c r="G36" s="3">
        <v>32.785714285714285</v>
      </c>
      <c r="J36" s="2" t="s">
        <v>66</v>
      </c>
      <c r="K36" s="3">
        <v>7.666666666666667</v>
      </c>
      <c r="P36" s="2" t="s">
        <v>31</v>
      </c>
      <c r="Q36" s="14">
        <v>188</v>
      </c>
      <c r="X36" s="2" t="s">
        <v>1</v>
      </c>
      <c r="Y36" s="14">
        <v>485</v>
      </c>
    </row>
    <row r="37" spans="1:28" x14ac:dyDescent="0.25">
      <c r="A37" s="2" t="s">
        <v>67</v>
      </c>
      <c r="B37" s="3">
        <v>12</v>
      </c>
      <c r="F37" s="2" t="s">
        <v>67</v>
      </c>
      <c r="G37" s="3">
        <v>30</v>
      </c>
      <c r="J37" s="2" t="s">
        <v>67</v>
      </c>
      <c r="K37" s="3">
        <v>4.4000000000000004</v>
      </c>
      <c r="P37" s="2" t="s">
        <v>1</v>
      </c>
      <c r="Q37" s="14">
        <v>485</v>
      </c>
    </row>
    <row r="38" spans="1:28" x14ac:dyDescent="0.25">
      <c r="A38" s="2" t="s">
        <v>68</v>
      </c>
      <c r="B38" s="3">
        <v>12</v>
      </c>
      <c r="F38" s="2" t="s">
        <v>68</v>
      </c>
      <c r="G38" s="3">
        <v>33.5</v>
      </c>
      <c r="J38" s="2" t="s">
        <v>68</v>
      </c>
      <c r="K38" s="3">
        <v>6.5</v>
      </c>
    </row>
    <row r="39" spans="1:28" x14ac:dyDescent="0.25">
      <c r="A39" s="2" t="s">
        <v>69</v>
      </c>
      <c r="B39" s="3">
        <v>20</v>
      </c>
      <c r="F39" s="2" t="s">
        <v>69</v>
      </c>
      <c r="G39" s="3">
        <v>32.950000000000003</v>
      </c>
      <c r="J39" s="2" t="s">
        <v>69</v>
      </c>
      <c r="K39" s="3">
        <v>5</v>
      </c>
    </row>
    <row r="40" spans="1:28" x14ac:dyDescent="0.25">
      <c r="A40" s="2" t="s">
        <v>70</v>
      </c>
      <c r="B40" s="3">
        <v>19</v>
      </c>
      <c r="F40" s="2" t="s">
        <v>70</v>
      </c>
      <c r="G40" s="3">
        <v>35.842105263157897</v>
      </c>
      <c r="J40" s="2" t="s">
        <v>70</v>
      </c>
      <c r="K40" s="3">
        <v>5.25</v>
      </c>
    </row>
    <row r="41" spans="1:28" x14ac:dyDescent="0.25">
      <c r="A41" s="2" t="s">
        <v>71</v>
      </c>
      <c r="B41" s="3">
        <v>13</v>
      </c>
      <c r="F41" s="2" t="s">
        <v>71</v>
      </c>
      <c r="G41" s="3">
        <v>33.846153846153847</v>
      </c>
      <c r="J41" s="2" t="s">
        <v>71</v>
      </c>
      <c r="K41" s="3">
        <v>4.75</v>
      </c>
    </row>
    <row r="42" spans="1:28" x14ac:dyDescent="0.25">
      <c r="A42" s="2" t="s">
        <v>72</v>
      </c>
      <c r="B42" s="3">
        <v>15</v>
      </c>
      <c r="F42" s="2" t="s">
        <v>72</v>
      </c>
      <c r="G42" s="3">
        <v>39.06666666666667</v>
      </c>
      <c r="J42" s="2" t="s">
        <v>72</v>
      </c>
      <c r="K42" s="3">
        <v>5</v>
      </c>
    </row>
    <row r="43" spans="1:28" x14ac:dyDescent="0.25">
      <c r="A43" s="2" t="s">
        <v>73</v>
      </c>
      <c r="B43" s="3">
        <v>19</v>
      </c>
      <c r="F43" s="2" t="s">
        <v>73</v>
      </c>
      <c r="G43" s="3">
        <v>36.684210526315788</v>
      </c>
      <c r="J43" s="2" t="s">
        <v>73</v>
      </c>
      <c r="K43" s="3">
        <v>4</v>
      </c>
      <c r="V43" s="1" t="s">
        <v>0</v>
      </c>
      <c r="W43" t="s">
        <v>45</v>
      </c>
      <c r="AB43" s="1" t="s">
        <v>0</v>
      </c>
    </row>
    <row r="44" spans="1:28" x14ac:dyDescent="0.25">
      <c r="A44" s="2" t="s">
        <v>74</v>
      </c>
      <c r="B44" s="3">
        <v>17</v>
      </c>
      <c r="F44" s="2" t="s">
        <v>74</v>
      </c>
      <c r="G44" s="3">
        <v>33.764705882352942</v>
      </c>
      <c r="J44" s="2" t="s">
        <v>74</v>
      </c>
      <c r="K44" s="3">
        <v>5.333333333333333</v>
      </c>
      <c r="V44" s="2" t="s">
        <v>44</v>
      </c>
      <c r="W44" s="14">
        <v>2</v>
      </c>
      <c r="AB44" s="2" t="s">
        <v>46</v>
      </c>
    </row>
    <row r="45" spans="1:28" x14ac:dyDescent="0.25">
      <c r="A45" s="2" t="s">
        <v>75</v>
      </c>
      <c r="B45" s="3">
        <v>15</v>
      </c>
      <c r="F45" s="2" t="s">
        <v>75</v>
      </c>
      <c r="G45" s="3">
        <v>34.533333333333331</v>
      </c>
      <c r="J45" s="2" t="s">
        <v>75</v>
      </c>
      <c r="K45" s="3">
        <v>6</v>
      </c>
      <c r="V45" s="2" t="s">
        <v>43</v>
      </c>
      <c r="W45" s="14">
        <v>11</v>
      </c>
      <c r="AB45" s="2" t="s">
        <v>1</v>
      </c>
    </row>
    <row r="46" spans="1:28" x14ac:dyDescent="0.25">
      <c r="A46" s="2" t="s">
        <v>76</v>
      </c>
      <c r="B46" s="3">
        <v>16</v>
      </c>
      <c r="F46" s="2" t="s">
        <v>76</v>
      </c>
      <c r="G46" s="3">
        <v>42.125</v>
      </c>
      <c r="J46" s="2" t="s">
        <v>76</v>
      </c>
      <c r="K46" s="3">
        <v>6.333333333333333</v>
      </c>
      <c r="V46" s="2" t="s">
        <v>40</v>
      </c>
      <c r="W46" s="14">
        <v>12</v>
      </c>
    </row>
    <row r="47" spans="1:28" x14ac:dyDescent="0.25">
      <c r="A47" s="2" t="s">
        <v>1</v>
      </c>
      <c r="B47" s="3">
        <v>485</v>
      </c>
      <c r="F47" s="2" t="s">
        <v>1</v>
      </c>
      <c r="G47" s="3">
        <v>35.507216494845359</v>
      </c>
      <c r="J47" s="2" t="s">
        <v>1</v>
      </c>
      <c r="K47" s="3">
        <v>4.7092198581560281</v>
      </c>
      <c r="V47" s="2" t="s">
        <v>38</v>
      </c>
      <c r="W47" s="14">
        <v>12</v>
      </c>
    </row>
    <row r="48" spans="1:28" x14ac:dyDescent="0.25">
      <c r="V48" s="2" t="s">
        <v>37</v>
      </c>
      <c r="W48" s="14">
        <v>13</v>
      </c>
    </row>
    <row r="49" spans="22:23" x14ac:dyDescent="0.25">
      <c r="V49" s="2" t="s">
        <v>42</v>
      </c>
      <c r="W49" s="14">
        <v>53</v>
      </c>
    </row>
    <row r="50" spans="22:23" x14ac:dyDescent="0.25">
      <c r="V50" s="2" t="s">
        <v>39</v>
      </c>
      <c r="W50" s="14">
        <v>91</v>
      </c>
    </row>
    <row r="51" spans="22:23" x14ac:dyDescent="0.25">
      <c r="V51" s="2" t="s">
        <v>41</v>
      </c>
      <c r="W51" s="14">
        <v>291</v>
      </c>
    </row>
    <row r="52" spans="22:23" x14ac:dyDescent="0.25">
      <c r="V52" s="2" t="s">
        <v>1</v>
      </c>
      <c r="W52" s="14">
        <v>485</v>
      </c>
    </row>
    <row r="82" spans="1:10" x14ac:dyDescent="0.25">
      <c r="H82" t="s">
        <v>11</v>
      </c>
    </row>
    <row r="83" spans="1:10" x14ac:dyDescent="0.25">
      <c r="H83" s="1" t="s">
        <v>0</v>
      </c>
      <c r="I83" t="s">
        <v>13</v>
      </c>
      <c r="J83" t="s">
        <v>16</v>
      </c>
    </row>
    <row r="84" spans="1:10" x14ac:dyDescent="0.25">
      <c r="H84" s="2" t="s">
        <v>14</v>
      </c>
      <c r="I84" s="3">
        <v>235</v>
      </c>
      <c r="J84" s="7">
        <v>0.4845360824742268</v>
      </c>
    </row>
    <row r="85" spans="1:10" x14ac:dyDescent="0.25">
      <c r="H85" s="2" t="s">
        <v>15</v>
      </c>
      <c r="I85" s="3">
        <v>250</v>
      </c>
      <c r="J85" s="7">
        <v>0.51546391752577314</v>
      </c>
    </row>
    <row r="86" spans="1:10" x14ac:dyDescent="0.25">
      <c r="H86" s="2" t="s">
        <v>1</v>
      </c>
      <c r="I86" s="3">
        <v>485</v>
      </c>
      <c r="J86" s="7">
        <v>1</v>
      </c>
    </row>
    <row r="91" spans="1:10" x14ac:dyDescent="0.25">
      <c r="A91" s="8" t="str">
        <f>A95</f>
        <v>Admission Status</v>
      </c>
      <c r="B91" s="8" t="str">
        <f>B95</f>
        <v>No. of Patient</v>
      </c>
      <c r="C91" s="8" t="str">
        <f>C95</f>
        <v>% Status</v>
      </c>
      <c r="D91" s="8"/>
    </row>
    <row r="92" spans="1:10" x14ac:dyDescent="0.25">
      <c r="A92" s="9" t="str">
        <f t="shared" ref="A92:B93" si="0">A96</f>
        <v>Not Admitted</v>
      </c>
      <c r="B92" s="9">
        <f t="shared" si="0"/>
        <v>250</v>
      </c>
      <c r="C92" s="13">
        <f t="shared" ref="C92" si="1">C96</f>
        <v>0.51546391752577314</v>
      </c>
      <c r="D92" s="9"/>
    </row>
    <row r="93" spans="1:10" x14ac:dyDescent="0.25">
      <c r="A93" s="9" t="str">
        <f t="shared" si="0"/>
        <v>Admitted</v>
      </c>
      <c r="B93" s="9">
        <f t="shared" si="0"/>
        <v>235</v>
      </c>
      <c r="C93" s="13">
        <f t="shared" ref="C93" si="2">C97</f>
        <v>0.4845360824742268</v>
      </c>
      <c r="D93" s="9"/>
    </row>
    <row r="95" spans="1:10" x14ac:dyDescent="0.25">
      <c r="A95" s="10" t="s">
        <v>17</v>
      </c>
      <c r="B95" s="10" t="s">
        <v>3</v>
      </c>
      <c r="C95" s="10" t="s">
        <v>18</v>
      </c>
      <c r="D95" s="10"/>
      <c r="E95" s="9"/>
      <c r="F95" s="9"/>
    </row>
    <row r="96" spans="1:10" x14ac:dyDescent="0.25">
      <c r="A96" s="11" t="str">
        <f>H85</f>
        <v>Not Admitted</v>
      </c>
      <c r="B96" s="11">
        <f>I85</f>
        <v>250</v>
      </c>
      <c r="C96" s="12">
        <f>J85</f>
        <v>0.51546391752577314</v>
      </c>
      <c r="D96" s="11"/>
      <c r="E96" s="9"/>
      <c r="F96" s="9"/>
    </row>
    <row r="97" spans="1:6" x14ac:dyDescent="0.25">
      <c r="A97" s="11" t="str">
        <f>H84</f>
        <v>Admitted</v>
      </c>
      <c r="B97" s="11">
        <f>I84</f>
        <v>235</v>
      </c>
      <c r="C97" s="12">
        <f>J84</f>
        <v>0.4845360824742268</v>
      </c>
      <c r="D97" s="11"/>
      <c r="E97" s="9"/>
      <c r="F97" s="9"/>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39B06-7649-485E-925D-BFFCE5B5904D}">
  <dimension ref="A1:M23"/>
  <sheetViews>
    <sheetView tabSelected="1" zoomScale="210" zoomScaleNormal="73" workbookViewId="0"/>
  </sheetViews>
  <sheetFormatPr defaultRowHeight="15" x14ac:dyDescent="0.25"/>
  <cols>
    <col min="3" max="3" width="9.140625" customWidth="1"/>
    <col min="13" max="13" width="9.140625" style="17"/>
  </cols>
  <sheetData>
    <row r="1" spans="1:12" x14ac:dyDescent="0.25">
      <c r="A1" s="5"/>
      <c r="B1" s="4"/>
      <c r="C1" s="4"/>
      <c r="D1" s="4"/>
      <c r="E1" s="4"/>
      <c r="F1" s="4"/>
      <c r="G1" s="4"/>
      <c r="H1" s="4"/>
      <c r="I1" s="4"/>
      <c r="J1" s="4"/>
      <c r="K1" s="4"/>
      <c r="L1" s="4"/>
    </row>
    <row r="2" spans="1:12" x14ac:dyDescent="0.25">
      <c r="A2" s="4"/>
      <c r="B2" s="4"/>
      <c r="C2" s="4"/>
      <c r="D2" s="4"/>
      <c r="E2" s="4"/>
      <c r="F2" s="4"/>
      <c r="G2" s="4"/>
      <c r="H2" s="4"/>
      <c r="I2" s="4"/>
      <c r="J2" s="4"/>
      <c r="K2" s="4"/>
      <c r="L2" s="4"/>
    </row>
    <row r="3" spans="1:12" x14ac:dyDescent="0.25">
      <c r="A3" s="4"/>
      <c r="B3" s="4"/>
      <c r="C3" s="4"/>
      <c r="D3" s="4"/>
      <c r="E3" s="4"/>
      <c r="F3" s="4"/>
      <c r="G3" s="4"/>
      <c r="H3" s="4"/>
      <c r="I3" s="4"/>
      <c r="J3" s="4"/>
      <c r="K3" s="4"/>
      <c r="L3" s="4"/>
    </row>
    <row r="4" spans="1:12" x14ac:dyDescent="0.25">
      <c r="A4" s="4"/>
      <c r="B4" s="4"/>
      <c r="C4" s="4"/>
      <c r="D4" s="4"/>
      <c r="E4" s="4"/>
      <c r="F4" s="4"/>
      <c r="G4" s="4"/>
      <c r="H4" s="4"/>
      <c r="I4" s="4"/>
      <c r="J4" s="4"/>
      <c r="K4" s="4"/>
      <c r="L4" s="4"/>
    </row>
    <row r="5" spans="1:12" x14ac:dyDescent="0.25">
      <c r="A5" s="4"/>
      <c r="B5" s="4"/>
      <c r="C5" s="4"/>
      <c r="D5" s="4"/>
      <c r="E5" s="4"/>
      <c r="F5" s="4"/>
      <c r="G5" s="4"/>
      <c r="H5" s="4"/>
      <c r="I5" s="4"/>
      <c r="J5" s="4"/>
      <c r="K5" s="4"/>
      <c r="L5" s="4"/>
    </row>
    <row r="6" spans="1:12" x14ac:dyDescent="0.25">
      <c r="A6" s="4"/>
      <c r="B6" s="4"/>
      <c r="C6" s="4"/>
      <c r="D6" s="4"/>
      <c r="E6" s="4"/>
      <c r="F6" s="4"/>
      <c r="G6" s="4"/>
      <c r="H6" s="4"/>
      <c r="I6" s="4"/>
      <c r="J6" s="4"/>
      <c r="K6" s="4"/>
      <c r="L6" s="4"/>
    </row>
    <row r="7" spans="1:12" x14ac:dyDescent="0.25">
      <c r="A7" s="4"/>
      <c r="B7" s="4"/>
      <c r="C7" s="4"/>
      <c r="D7" s="4"/>
      <c r="E7" s="4"/>
      <c r="F7" s="4"/>
      <c r="G7" s="4"/>
      <c r="H7" s="4"/>
      <c r="I7" s="4"/>
      <c r="J7" s="4"/>
      <c r="K7" s="4"/>
      <c r="L7" s="4"/>
    </row>
    <row r="8" spans="1:12" x14ac:dyDescent="0.25">
      <c r="A8" s="4"/>
      <c r="B8" s="4"/>
      <c r="C8" s="4"/>
      <c r="D8" s="4"/>
      <c r="E8" s="4"/>
      <c r="F8" s="4"/>
      <c r="G8" s="4"/>
      <c r="H8" s="4"/>
      <c r="I8" s="4"/>
      <c r="J8" s="4"/>
      <c r="K8" s="4"/>
      <c r="L8" s="4"/>
    </row>
    <row r="9" spans="1:12" x14ac:dyDescent="0.25">
      <c r="A9" s="4"/>
      <c r="B9" s="4"/>
      <c r="C9" s="4"/>
      <c r="D9" s="4"/>
      <c r="E9" s="4"/>
      <c r="F9" s="4"/>
      <c r="G9" s="4"/>
      <c r="H9" s="4"/>
      <c r="I9" s="4"/>
      <c r="J9" s="4"/>
      <c r="K9" s="4"/>
      <c r="L9" s="4"/>
    </row>
    <row r="10" spans="1:12" x14ac:dyDescent="0.25">
      <c r="A10" s="4"/>
      <c r="B10" s="4"/>
      <c r="C10" s="4"/>
      <c r="D10" s="4"/>
      <c r="E10" s="4"/>
      <c r="F10" s="4"/>
      <c r="G10" s="4"/>
      <c r="H10" s="4"/>
      <c r="I10" s="4"/>
      <c r="J10" s="4"/>
      <c r="K10" s="4"/>
      <c r="L10" s="4"/>
    </row>
    <row r="11" spans="1:12" x14ac:dyDescent="0.25">
      <c r="A11" s="4"/>
      <c r="B11" s="4"/>
      <c r="C11" s="4"/>
      <c r="D11" s="4"/>
      <c r="E11" s="4"/>
      <c r="F11" s="4"/>
      <c r="G11" s="4"/>
      <c r="H11" s="4"/>
      <c r="I11" s="4"/>
      <c r="J11" s="4"/>
      <c r="K11" s="4"/>
      <c r="L11" s="4"/>
    </row>
    <row r="12" spans="1:12" x14ac:dyDescent="0.25">
      <c r="A12" s="4"/>
      <c r="B12" s="4"/>
      <c r="C12" s="4"/>
      <c r="D12" s="4"/>
      <c r="E12" s="4"/>
      <c r="F12" s="4"/>
      <c r="G12" s="4"/>
      <c r="H12" s="4"/>
      <c r="I12" s="4"/>
      <c r="J12" s="4"/>
      <c r="K12" s="4"/>
      <c r="L12" s="4"/>
    </row>
    <row r="13" spans="1:12" x14ac:dyDescent="0.25">
      <c r="A13" s="4"/>
      <c r="B13" s="4"/>
      <c r="C13" s="4"/>
      <c r="D13" s="4"/>
      <c r="E13" s="4"/>
      <c r="F13" s="4"/>
      <c r="G13" s="4"/>
      <c r="H13" s="4"/>
      <c r="I13" s="4"/>
      <c r="J13" s="4"/>
      <c r="K13" s="4"/>
      <c r="L13" s="4"/>
    </row>
    <row r="14" spans="1:12" x14ac:dyDescent="0.25">
      <c r="A14" s="4"/>
      <c r="B14" s="4"/>
      <c r="C14" s="4"/>
      <c r="D14" s="4"/>
      <c r="E14" s="4"/>
      <c r="F14" s="4"/>
      <c r="G14" s="4"/>
      <c r="H14" s="4"/>
      <c r="I14" s="4"/>
      <c r="J14" s="4"/>
      <c r="K14" s="4"/>
      <c r="L14" s="4"/>
    </row>
    <row r="15" spans="1:12" x14ac:dyDescent="0.25">
      <c r="A15" s="4"/>
      <c r="B15" s="4"/>
      <c r="C15" s="4"/>
      <c r="D15" s="4"/>
      <c r="E15" s="4"/>
      <c r="F15" s="4"/>
      <c r="G15" s="4"/>
      <c r="H15" s="4"/>
      <c r="I15" s="4"/>
      <c r="J15" s="4"/>
      <c r="K15" s="4"/>
      <c r="L15" s="4"/>
    </row>
    <row r="16" spans="1:12" x14ac:dyDescent="0.25">
      <c r="A16" s="4"/>
      <c r="B16" s="4"/>
      <c r="C16" s="4"/>
      <c r="D16" s="4"/>
      <c r="E16" s="4"/>
      <c r="F16" s="4"/>
      <c r="G16" s="4"/>
      <c r="H16" s="4"/>
      <c r="I16" s="4"/>
      <c r="J16" s="4"/>
      <c r="K16" s="4"/>
      <c r="L16" s="4"/>
    </row>
    <row r="22" spans="1:7" x14ac:dyDescent="0.25">
      <c r="A22" t="s">
        <v>8</v>
      </c>
    </row>
    <row r="23" spans="1:7" x14ac:dyDescent="0.25">
      <c r="G23" s="16"/>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2BFD5-0C3B-48F2-8607-73ECF7E7E25C}">
  <dimension ref="A1"/>
  <sheetViews>
    <sheetView zoomScale="208"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F6D2C-071A-4FC4-81B0-65D76B110B44}">
  <dimension ref="A1"/>
  <sheetViews>
    <sheetView zoomScale="190"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B0953-DFB2-40AF-BEAC-D17CEA344667}">
  <dimension ref="H31"/>
  <sheetViews>
    <sheetView zoomScale="205" workbookViewId="0"/>
  </sheetViews>
  <sheetFormatPr defaultRowHeight="15" x14ac:dyDescent="0.25"/>
  <sheetData>
    <row r="31" spans="8:8" ht="15.75" x14ac:dyDescent="0.25">
      <c r="H31" s="6" t="s">
        <v>12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FDE4264-7325-4FFF-A495-7C18C99ABCF8}">
  <ds:schemaRefs/>
</ds:datastoreItem>
</file>

<file path=customXml/itemProps2.xml><?xml version="1.0" encoding="utf-8"?>
<ds:datastoreItem xmlns:ds="http://schemas.openxmlformats.org/officeDocument/2006/customXml" ds:itemID="{C4DAEEF2-1FE6-486E-AC92-FE98A8BAD9A9}">
  <ds:schemaRefs/>
</ds:datastoreItem>
</file>

<file path=customXml/itemProps3.xml><?xml version="1.0" encoding="utf-8"?>
<ds:datastoreItem xmlns:ds="http://schemas.openxmlformats.org/officeDocument/2006/customXml" ds:itemID="{0D71AE97-63AA-4B8F-9236-D69B529C3E89}">
  <ds:schemaRefs/>
</ds:datastoreItem>
</file>

<file path=customXml/itemProps4.xml><?xml version="1.0" encoding="utf-8"?>
<ds:datastoreItem xmlns:ds="http://schemas.openxmlformats.org/officeDocument/2006/customXml" ds:itemID="{6C122F15-81E5-4472-B9FA-4D56DF278172}">
  <ds:schemaRefs/>
</ds:datastoreItem>
</file>

<file path=customXml/itemProps5.xml><?xml version="1.0" encoding="utf-8"?>
<ds:datastoreItem xmlns:ds="http://schemas.openxmlformats.org/officeDocument/2006/customXml" ds:itemID="{1198F17E-153F-4838-AA0E-CD1473A6B7EA}">
  <ds:schemaRefs/>
</ds:datastoreItem>
</file>

<file path=customXml/itemProps6.xml><?xml version="1.0" encoding="utf-8"?>
<ds:datastoreItem xmlns:ds="http://schemas.openxmlformats.org/officeDocument/2006/customXml" ds:itemID="{6465BBDE-E208-474C-B1AE-65093D59C374}">
  <ds:schemaRefs/>
</ds:datastoreItem>
</file>

<file path=customXml/itemProps7.xml><?xml version="1.0" encoding="utf-8"?>
<ds:datastoreItem xmlns:ds="http://schemas.openxmlformats.org/officeDocument/2006/customXml" ds:itemID="{ABBCDE13-517C-4E5D-9801-F5CD0C53E288}">
  <ds:schemaRefs>
    <ds:schemaRef ds:uri="http://schemas.microsoft.com/DataMashup"/>
  </ds:schemaRefs>
</ds:datastoreItem>
</file>

<file path=customXml/itemProps8.xml><?xml version="1.0" encoding="utf-8"?>
<ds:datastoreItem xmlns:ds="http://schemas.openxmlformats.org/officeDocument/2006/customXml" ds:itemID="{1A8AC59E-BA63-46F2-9822-9ED039036A07}">
  <ds:schemaRefs/>
</ds:datastoreItem>
</file>

<file path=customXml/itemProps9.xml><?xml version="1.0" encoding="utf-8"?>
<ds:datastoreItem xmlns:ds="http://schemas.openxmlformats.org/officeDocument/2006/customXml" ds:itemID="{609A1C59-28CE-40C8-8234-5162E4996EFE}">
  <ds:schemaRefs/>
</ds:datastoreItem>
</file>

<file path=customXml/itemProps10.xml><?xml version="1.0" encoding="utf-8"?>
<ds:datastoreItem xmlns:ds="http://schemas.openxmlformats.org/officeDocument/2006/customXml" ds:itemID="{9E686D47-76D8-4DE8-A9E7-9FCFE3C9ACE0}">
  <ds:schemaRefs/>
</ds:datastoreItem>
</file>

<file path=customXml/itemProps11.xml><?xml version="1.0" encoding="utf-8"?>
<ds:datastoreItem xmlns:ds="http://schemas.openxmlformats.org/officeDocument/2006/customXml" ds:itemID="{4D8E5299-7879-4E5E-95A8-A900DF734109}">
  <ds:schemaRefs/>
</ds:datastoreItem>
</file>

<file path=customXml/itemProps12.xml><?xml version="1.0" encoding="utf-8"?>
<ds:datastoreItem xmlns:ds="http://schemas.openxmlformats.org/officeDocument/2006/customXml" ds:itemID="{548D21F7-C4E7-441A-A1E6-F37B77256DDD}">
  <ds:schemaRefs/>
</ds:datastoreItem>
</file>

<file path=customXml/itemProps13.xml><?xml version="1.0" encoding="utf-8"?>
<ds:datastoreItem xmlns:ds="http://schemas.openxmlformats.org/officeDocument/2006/customXml" ds:itemID="{BFDC1F5D-39E5-4CB6-A97D-9367602A8D04}">
  <ds:schemaRefs/>
</ds:datastoreItem>
</file>

<file path=customXml/itemProps14.xml><?xml version="1.0" encoding="utf-8"?>
<ds:datastoreItem xmlns:ds="http://schemas.openxmlformats.org/officeDocument/2006/customXml" ds:itemID="{5A047E71-3C1C-4550-9AA2-6E0C1CDFCD38}">
  <ds:schemaRefs/>
</ds:datastoreItem>
</file>

<file path=customXml/itemProps15.xml><?xml version="1.0" encoding="utf-8"?>
<ds:datastoreItem xmlns:ds="http://schemas.openxmlformats.org/officeDocument/2006/customXml" ds:itemID="{491A04E4-9C79-4DAC-A83D-A82B1301FC6D}">
  <ds:schemaRefs/>
</ds:datastoreItem>
</file>

<file path=customXml/itemProps16.xml><?xml version="1.0" encoding="utf-8"?>
<ds:datastoreItem xmlns:ds="http://schemas.openxmlformats.org/officeDocument/2006/customXml" ds:itemID="{2D36323B-95DB-43E1-A495-D873C9D98C2E}">
  <ds:schemaRefs/>
</ds:datastoreItem>
</file>

<file path=customXml/itemProps17.xml><?xml version="1.0" encoding="utf-8"?>
<ds:datastoreItem xmlns:ds="http://schemas.openxmlformats.org/officeDocument/2006/customXml" ds:itemID="{AE8EBBF3-E382-4D01-A6BC-9363FE4EFF67}">
  <ds:schemaRefs/>
</ds:datastoreItem>
</file>

<file path=customXml/itemProps18.xml><?xml version="1.0" encoding="utf-8"?>
<ds:datastoreItem xmlns:ds="http://schemas.openxmlformats.org/officeDocument/2006/customXml" ds:itemID="{636C29C0-A982-4B01-9905-74128F1E610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Material</vt:lpstr>
      <vt:lpstr>Dashboard</vt:lpstr>
      <vt:lpstr>Number of Patient in a day</vt:lpstr>
      <vt:lpstr>Avg Wait time </vt:lpstr>
      <vt:lpstr>Satification Score for a 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dc:creator>
  <cp:lastModifiedBy>shreyas shinde</cp:lastModifiedBy>
  <dcterms:created xsi:type="dcterms:W3CDTF">2015-06-05T18:17:20Z</dcterms:created>
  <dcterms:modified xsi:type="dcterms:W3CDTF">2026-02-15T08:41:41Z</dcterms:modified>
</cp:coreProperties>
</file>